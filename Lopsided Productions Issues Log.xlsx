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C:\Users\tdigu\Desktop\Insomniac\"/>
    </mc:Choice>
  </mc:AlternateContent>
  <xr:revisionPtr revIDLastSave="0" documentId="13_ncr:1_{4372711D-1AEA-48A3-9450-3ECDDEA0CC0B}" xr6:coauthVersionLast="47" xr6:coauthVersionMax="47" xr10:uidLastSave="{00000000-0000-0000-0000-000000000000}"/>
  <bookViews>
    <workbookView xWindow="15795" yWindow="-16320" windowWidth="29040" windowHeight="16440" activeTab="1" xr2:uid="{E426D4A3-675A-4749-AD97-AF7CA7903CDF}"/>
  </bookViews>
  <sheets>
    <sheet name="Issues Quantification" sheetId="7" r:id="rId1"/>
    <sheet name="Issues" sheetId="3"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 i="3" l="1"/>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Thomas DiGuido</author>
  </authors>
  <commentList>
    <comment ref="F3" authorId="0" shapeId="0" xr:uid="{7FFC4786-E0DA-49B2-ABEE-E083C98B7F91}">
      <text>
        <r>
          <rPr>
            <b/>
            <sz val="9"/>
            <color indexed="81"/>
            <rFont val="Tahoma"/>
            <family val="2"/>
          </rPr>
          <t xml:space="preserve">J = Jessica
N = Nick
T = Tom
</t>
        </r>
      </text>
    </comment>
    <comment ref="G3" authorId="0" shapeId="0" xr:uid="{38C9A1C5-72B6-4ED0-8038-AC181F9263FA}">
      <text>
        <r>
          <rPr>
            <b/>
            <sz val="9"/>
            <color indexed="81"/>
            <rFont val="Tahoma"/>
            <family val="2"/>
          </rPr>
          <t>Probability (P):</t>
        </r>
        <r>
          <rPr>
            <sz val="9"/>
            <color indexed="81"/>
            <rFont val="Tahoma"/>
            <family val="2"/>
          </rPr>
          <t xml:space="preserve">
Likelyhood that the risk is to happen
(1 = very unlikely, 10 = very likely)</t>
        </r>
      </text>
    </comment>
    <comment ref="H3" authorId="0" shapeId="0" xr:uid="{63D4E263-5810-4D86-8C2D-F59939044148}">
      <text>
        <r>
          <rPr>
            <b/>
            <sz val="9"/>
            <color indexed="81"/>
            <rFont val="Tahoma"/>
            <family val="2"/>
          </rPr>
          <t xml:space="preserve">Severity (S):
</t>
        </r>
        <r>
          <rPr>
            <sz val="9"/>
            <color indexed="81"/>
            <rFont val="Tahoma"/>
            <family val="2"/>
          </rPr>
          <t>How bad the impact would be to the project.
(1 = minor, 10 = critical)</t>
        </r>
      </text>
    </comment>
    <comment ref="I3" authorId="0" shapeId="0" xr:uid="{168E7F97-7790-44FD-8CF5-5E65EB25ED4A}">
      <text>
        <r>
          <rPr>
            <b/>
            <sz val="9"/>
            <color indexed="81"/>
            <rFont val="Tahoma"/>
            <family val="2"/>
          </rPr>
          <t>Detection (D):</t>
        </r>
        <r>
          <rPr>
            <sz val="9"/>
            <color indexed="81"/>
            <rFont val="Tahoma"/>
            <family val="2"/>
          </rPr>
          <t xml:space="preserve">
How difficult it is to detect before it happens.
(1 = easy to detect, 10 = very hard to detect)
</t>
        </r>
      </text>
    </comment>
    <comment ref="J3" authorId="0" shapeId="0" xr:uid="{1D04E713-0EA4-4E6F-BC2C-CA6E98BA0692}">
      <text>
        <r>
          <rPr>
            <sz val="9"/>
            <color indexed="81"/>
            <rFont val="Tahoma"/>
            <family val="2"/>
          </rPr>
          <t xml:space="preserve">Risk Priority Number (RPN) = Probability × Severity × Detection </t>
        </r>
      </text>
    </comment>
  </commentList>
</comments>
</file>

<file path=xl/sharedStrings.xml><?xml version="1.0" encoding="utf-8"?>
<sst xmlns="http://schemas.openxmlformats.org/spreadsheetml/2006/main" count="256" uniqueCount="193">
  <si>
    <t>Ref #</t>
  </si>
  <si>
    <t>Owner</t>
  </si>
  <si>
    <t>Status</t>
  </si>
  <si>
    <t>Comments</t>
  </si>
  <si>
    <t>RPN</t>
  </si>
  <si>
    <t>Probability of Occurance Table</t>
  </si>
  <si>
    <t>Probability of Occurance</t>
  </si>
  <si>
    <t>Possible Occurrence Rates</t>
  </si>
  <si>
    <t>Rank</t>
  </si>
  <si>
    <t>Very High: occurrence is almost certain</t>
  </si>
  <si>
    <t>&gt;= 1 in 2</t>
  </si>
  <si>
    <t>1 in 3</t>
  </si>
  <si>
    <t>High: repeated occurences possible</t>
  </si>
  <si>
    <t>1 in 8</t>
  </si>
  <si>
    <t>1 in 20</t>
  </si>
  <si>
    <t>Moderate: occassional occurences</t>
  </si>
  <si>
    <t>1 in 80</t>
  </si>
  <si>
    <t>1 in 400</t>
  </si>
  <si>
    <t>1 in 2,000</t>
  </si>
  <si>
    <t>Low: relatively few occurences</t>
  </si>
  <si>
    <t>1 in 15,000</t>
  </si>
  <si>
    <t>1 in 150,000</t>
  </si>
  <si>
    <t>Remote: occurrence is unlikely</t>
  </si>
  <si>
    <t>&lt;= 1 in 1, 500,000</t>
  </si>
  <si>
    <t>Severity of the Effect Table</t>
  </si>
  <si>
    <t>Effect</t>
  </si>
  <si>
    <t>Criteria: Severity of Effect</t>
  </si>
  <si>
    <t>Hazardous - without warning</t>
  </si>
  <si>
    <t>Project severely impacted, possible cancellation, with no warning</t>
  </si>
  <si>
    <t>Hazardous - with warning</t>
  </si>
  <si>
    <t>Project severely impacted, possible cancellation, with warning</t>
  </si>
  <si>
    <t xml:space="preserve">Very High </t>
  </si>
  <si>
    <t>Major impact on project schedule, budget, or performance; may cause severe delays, overruns, or degradation of performance</t>
  </si>
  <si>
    <t xml:space="preserve">High </t>
  </si>
  <si>
    <t>Project schedule, budget, or performance impacted significantly; job can be completed, but customer will be dissatisfied</t>
  </si>
  <si>
    <t xml:space="preserve">Moderate </t>
  </si>
  <si>
    <t>Project schedule, budget, or performance impacted some; customer will be dissatisfied</t>
  </si>
  <si>
    <t xml:space="preserve">Low </t>
  </si>
  <si>
    <t>Project schedule, budget, or performance impacted slightly; customer will be mildly dissatisfied</t>
  </si>
  <si>
    <t>Very Low</t>
  </si>
  <si>
    <t>Some impact to project; customer will be aware of impact</t>
  </si>
  <si>
    <t>Minor</t>
  </si>
  <si>
    <t>Small impact to project; average customer will be aware of impact</t>
  </si>
  <si>
    <t>Very Minor</t>
  </si>
  <si>
    <t>Impact so small that it would be noticed only by a very discriminating customer</t>
  </si>
  <si>
    <t>No effect</t>
  </si>
  <si>
    <t>Detection Capability</t>
  </si>
  <si>
    <t>Detection</t>
  </si>
  <si>
    <t>Absolute Uncertainty</t>
  </si>
  <si>
    <t>Very Remote</t>
  </si>
  <si>
    <t xml:space="preserve">Remote </t>
  </si>
  <si>
    <t>Moderate</t>
  </si>
  <si>
    <t>Moderately High</t>
  </si>
  <si>
    <t>High</t>
  </si>
  <si>
    <t>Very High</t>
  </si>
  <si>
    <t>Almost Certain</t>
  </si>
  <si>
    <t>Core Gameplay Logic Failure</t>
  </si>
  <si>
    <t>Sleep meter and threat logic fail to integrate</t>
  </si>
  <si>
    <t>Open</t>
  </si>
  <si>
    <t>Threat Timing Issues</t>
  </si>
  <si>
    <t>Response window inconsistent</t>
  </si>
  <si>
    <t>Game State Errors</t>
  </si>
  <si>
    <t>Incorrect state transitions</t>
  </si>
  <si>
    <t>Integration Failure</t>
  </si>
  <si>
    <t>Subsystems fail to sync</t>
  </si>
  <si>
    <t>Scope Creep</t>
  </si>
  <si>
    <t>Features exceed scope</t>
  </si>
  <si>
    <t>Time Constraint</t>
  </si>
  <si>
    <t>Insufficient time</t>
  </si>
  <si>
    <t>Skill Gaps</t>
  </si>
  <si>
    <t>Limited GameMaker experience</t>
  </si>
  <si>
    <t>UI Confusion</t>
  </si>
  <si>
    <t>Players don’t understand UI</t>
  </si>
  <si>
    <t>Game Balance</t>
  </si>
  <si>
    <t>Game too easy/hard</t>
  </si>
  <si>
    <t>Late Bugs</t>
  </si>
  <si>
    <t>Many defects late</t>
  </si>
  <si>
    <t>Data Integrity Issues</t>
  </si>
  <si>
    <t>Invalid values or states</t>
  </si>
  <si>
    <t>Event Handling Conflicts</t>
  </si>
  <si>
    <t>Timers/input conflict</t>
  </si>
  <si>
    <t>Environment Failure</t>
  </si>
  <si>
    <t>Objects don’t affect threats</t>
  </si>
  <si>
    <t>Performance Issues</t>
  </si>
  <si>
    <t>Low FPS or lag</t>
  </si>
  <si>
    <t>Audio Issues</t>
  </si>
  <si>
    <t>Audio not synced</t>
  </si>
  <si>
    <t>Asset Delay</t>
  </si>
  <si>
    <t>Data Loss</t>
  </si>
  <si>
    <t>Files corrupted/lost</t>
  </si>
  <si>
    <t>Communication Breakdown</t>
  </si>
  <si>
    <t>Team miscommunication</t>
  </si>
  <si>
    <t>Requirement Misunderstanding</t>
  </si>
  <si>
    <t>Incorrect implementation</t>
  </si>
  <si>
    <t>Incomplete Features</t>
  </si>
  <si>
    <t>Features not finished</t>
  </si>
  <si>
    <t>Traceability Gaps</t>
  </si>
  <si>
    <t>Requirements not mapped</t>
  </si>
  <si>
    <t>Architecture Deviation</t>
  </si>
  <si>
    <t>Code deviates from SDD</t>
  </si>
  <si>
    <t>Probability
(1 to 10)</t>
  </si>
  <si>
    <t>Severity
(1 to 10)</t>
  </si>
  <si>
    <t>Detection
(1 to 10)</t>
  </si>
  <si>
    <t>Team to use tutorials and allocate sufficient time to overcome this risk.</t>
  </si>
  <si>
    <t>Coding, documentation, testing etc., work will be balanced among team. Regular updates on assigned and agreed upon will be provided and will be rebalanced if necessary.</t>
  </si>
  <si>
    <t>Use change control process for any scope creep. It will be determined whether the item must be included in this release. If so, a CR (Change Request) will be completed and then added to the release. If the item does not need to be in the current release, the item will be documented for inclusion in a future release. Scope creep items will be tracked on the Decision Log.</t>
  </si>
  <si>
    <t>Maintain RTM (Requirements Tracking Matrix)</t>
  </si>
  <si>
    <t>Focus on MVP (Minimum Viable Product)</t>
  </si>
  <si>
    <t>Add instructions at the start screen for the user to learn the game rules.</t>
  </si>
  <si>
    <t>Tune parameters (Time, speed, etc.) to ensure that the game is progressive in level of difficulty.</t>
  </si>
  <si>
    <t xml:space="preserve">Continuous testing will be employed and start at the earliest possible time. Features will be evaluated and tested early in the process to avoid a bottleneck once the coding is complete. </t>
  </si>
  <si>
    <t>Review SRS on a regulary basis to ensure the build is in alignment.</t>
  </si>
  <si>
    <t>Missing graphics/audio/sound effects</t>
  </si>
  <si>
    <t>Use placeholders, assign to individuals, and use due dates to mitigate any impact to coding.</t>
  </si>
  <si>
    <t>Test integration early in coding and allow corrections as coding continues. Retest in the next round of testing.</t>
  </si>
  <si>
    <t>Test centralize state logic early in coding and allow corrections as coding continues. Retest in the next round of testing.</t>
  </si>
  <si>
    <t>Test validate timers early in coding and allow corrections as coding continues. Retest in the next round of testing.</t>
  </si>
  <si>
    <t>Test subsystems early in coding and allow corrections as coding continues. Retest in the next round of testing.</t>
  </si>
  <si>
    <t>Validate rules throughout the coding process.</t>
  </si>
  <si>
    <t>Test performance early in coding and allow corrections as coding continues. Retest in the next round of testing.</t>
  </si>
  <si>
    <t>Test audio/sound effects early in coding and allow corrections as coding continues. Retest in the next round of testing.</t>
  </si>
  <si>
    <t>Use GitHub backups: Team will use GitHub (git pull, git add ., git commit, and git push, etc.) when working on the coding, testing, etc. Any updates are to be pushed to GitHub at the end of the session.</t>
  </si>
  <si>
    <t xml:space="preserve">Scheduled weekly meetings, Discord, and special coding meetings will be used by each person to keep the team aligned on the progress. </t>
  </si>
  <si>
    <t>This risk will be reviewed during the coding and testing process. Results will be documented, and corrections will be added to the coding tasks.</t>
  </si>
  <si>
    <t>IL01</t>
  </si>
  <si>
    <t>IL02</t>
  </si>
  <si>
    <t>IL03</t>
  </si>
  <si>
    <t>IL04</t>
  </si>
  <si>
    <t>IL05</t>
  </si>
  <si>
    <t>IL06</t>
  </si>
  <si>
    <t>IL07</t>
  </si>
  <si>
    <t>IL08</t>
  </si>
  <si>
    <t>IL09</t>
  </si>
  <si>
    <t>IL10</t>
  </si>
  <si>
    <t>IL11</t>
  </si>
  <si>
    <t>IL12</t>
  </si>
  <si>
    <t>IL13</t>
  </si>
  <si>
    <t>IL14</t>
  </si>
  <si>
    <t>IL15</t>
  </si>
  <si>
    <t>IL16</t>
  </si>
  <si>
    <t>IL17</t>
  </si>
  <si>
    <t>IL18</t>
  </si>
  <si>
    <t>IL19</t>
  </si>
  <si>
    <t>IL20</t>
  </si>
  <si>
    <t>IL21</t>
  </si>
  <si>
    <t>IL22</t>
  </si>
  <si>
    <t>Lopsided Productions Project Issues</t>
  </si>
  <si>
    <t>Jessica, Nick, Tom</t>
  </si>
  <si>
    <t>Closed</t>
  </si>
  <si>
    <t>Integration of meter and threat tested and complete.</t>
  </si>
  <si>
    <t>Tested</t>
  </si>
  <si>
    <t>No changes made to project scope.</t>
  </si>
  <si>
    <t>Structured event logic will be developed and reviewed during the coding process. Results will be documented and corrections will be added to the coding tasks.</t>
  </si>
  <si>
    <t>Included in test plan</t>
  </si>
  <si>
    <t>Design will be regularly reviewed and any deviations will be documented as a risk. Deviations will also be tracked on the Decision Log and added if needed.</t>
  </si>
  <si>
    <t>No deviations noted.</t>
  </si>
  <si>
    <t>Issue Name</t>
  </si>
  <si>
    <t>Issue Description</t>
  </si>
  <si>
    <t>Response Plan</t>
  </si>
  <si>
    <t>IL23</t>
  </si>
  <si>
    <t>IL24</t>
  </si>
  <si>
    <t>IL25</t>
  </si>
  <si>
    <t>IL26</t>
  </si>
  <si>
    <t>Missing or unclear submission requirements</t>
  </si>
  <si>
    <t>Team unclear where deliverables must be submitted (Discussion Board vs Blackboard).</t>
  </si>
  <si>
    <t>Limited team availability</t>
  </si>
  <si>
    <t>Personal events and work meetings may delay project activities.</t>
  </si>
  <si>
    <t>Final release stability risk</t>
  </si>
  <si>
    <t>Late-stage gameplay and save system changes may introduce defects.</t>
  </si>
  <si>
    <t>Gameplay clarity risk</t>
  </si>
  <si>
    <t>Some testers requested clearer gameplay instructions.</t>
  </si>
  <si>
    <t>Verify submission instructions and assign validation owner.</t>
  </si>
  <si>
    <t>Maintain shared ownership and updated GitHub repository.</t>
  </si>
  <si>
    <t>Perform regression testing and freeze features before release.</t>
  </si>
  <si>
    <t>Add concise gameplay hints or startup instructions.</t>
  </si>
  <si>
    <t>Tom</t>
  </si>
  <si>
    <t>Nick</t>
  </si>
  <si>
    <t>IL27</t>
  </si>
  <si>
    <t>IL28</t>
  </si>
  <si>
    <t>IL29</t>
  </si>
  <si>
    <t>IL30</t>
  </si>
  <si>
    <t>Submission location confusion</t>
  </si>
  <si>
    <t>Unclear whether Proof of Concept required Blackboard submission in addition to Discussion Board.</t>
  </si>
  <si>
    <t>Story sequence order missing</t>
  </si>
  <si>
    <t>Story order accidentally removed after update.</t>
  </si>
  <si>
    <t>GitHub issue tracker not maintained</t>
  </si>
  <si>
    <t>Team uncertain whether GitHub Issues or Excel tracker was official.</t>
  </si>
  <si>
    <t>Presentation coordination needed</t>
  </si>
  <si>
    <t>Team needs rehearsal and coordination before final presentation.</t>
  </si>
  <si>
    <t>Restore intended story sequence order.</t>
  </si>
  <si>
    <t>Schedule practice session before presentation.</t>
  </si>
  <si>
    <t>Team agreed to use Excel for Logs and are located on GitHub.</t>
  </si>
  <si>
    <t>Last Update: 5/14/2026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</si>
</sst>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name val="Arial"/>
    </font>
    <font>
      <b/>
      <sz val="10"/>
      <name val="Arial"/>
      <family val="2"/>
    </font>
    <font>
      <b/>
      <sz val="12"/>
      <name val="Arial"/>
      <family val="2"/>
    </font>
    <font>
      <sz val="8"/>
      <name val="Arial"/>
      <family val="2"/>
    </font>
    <font>
      <sz val="10"/>
      <name val="Arial"/>
      <family val="2"/>
    </font>
    <font>
      <b/>
      <sz val="12"/>
      <name val="Times New Roman"/>
      <family val="1"/>
    </font>
    <font>
      <sz val="9"/>
      <color indexed="81"/>
      <name val="Tahoma"/>
      <family val="2"/>
    </font>
    <font>
      <b/>
      <sz val="9"/>
      <color indexed="81"/>
      <name val="Tahoma"/>
      <family val="2"/>
    </font>
  </fonts>
  <fills count="4">
    <fill>
      <patternFill patternType="none"/>
    </fill>
    <fill>
      <patternFill patternType="gray125"/>
    </fill>
    <fill>
      <patternFill patternType="solid">
        <fgColor indexed="43"/>
        <bgColor indexed="64"/>
      </patternFill>
    </fill>
    <fill>
      <patternFill patternType="solid">
        <fgColor indexed="41"/>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4" fillId="0" borderId="0"/>
  </cellStyleXfs>
  <cellXfs count="31">
    <xf numFmtId="0" fontId="0" fillId="0" borderId="0" xfId="0"/>
    <xf numFmtId="0" fontId="0" fillId="0" borderId="1" xfId="0" applyBorder="1" applyAlignment="1">
      <alignment horizontal="center"/>
    </xf>
    <xf numFmtId="0" fontId="0" fillId="0" borderId="0" xfId="0" applyAlignment="1">
      <alignment horizontal="center"/>
    </xf>
    <xf numFmtId="0" fontId="1" fillId="0" borderId="0" xfId="0" applyFont="1" applyAlignment="1">
      <alignment vertical="top" wrapText="1"/>
    </xf>
    <xf numFmtId="0" fontId="0" fillId="0" borderId="1" xfId="0" applyBorder="1"/>
    <xf numFmtId="0" fontId="1" fillId="2" borderId="1" xfId="0" applyFont="1" applyFill="1" applyBorder="1" applyAlignment="1">
      <alignment horizontal="center" vertical="center" wrapText="1"/>
    </xf>
    <xf numFmtId="0" fontId="0" fillId="0" borderId="2" xfId="0" applyBorder="1"/>
    <xf numFmtId="0" fontId="0" fillId="0" borderId="3" xfId="0" applyBorder="1"/>
    <xf numFmtId="0" fontId="0" fillId="0" borderId="4" xfId="0" applyBorder="1"/>
    <xf numFmtId="0" fontId="0" fillId="0" borderId="0" xfId="0" applyAlignment="1">
      <alignment vertical="top"/>
    </xf>
    <xf numFmtId="0" fontId="0" fillId="0" borderId="1" xfId="0" applyBorder="1" applyAlignment="1">
      <alignment horizontal="left" vertical="center"/>
    </xf>
    <xf numFmtId="0" fontId="0" fillId="0" borderId="1" xfId="0" applyBorder="1" applyAlignment="1">
      <alignment horizontal="left" wrapText="1"/>
    </xf>
    <xf numFmtId="0" fontId="0" fillId="0" borderId="0" xfId="0" applyAlignment="1">
      <alignment horizontal="left" vertical="center"/>
    </xf>
    <xf numFmtId="0" fontId="1" fillId="0" borderId="0" xfId="0" applyFont="1" applyAlignment="1">
      <alignment horizontal="center" vertical="center" wrapText="1"/>
    </xf>
    <xf numFmtId="0" fontId="5" fillId="0" borderId="0" xfId="0" applyFont="1" applyAlignment="1">
      <alignment vertical="top"/>
    </xf>
    <xf numFmtId="0" fontId="1" fillId="0" borderId="0" xfId="0" applyFont="1" applyAlignment="1">
      <alignment vertical="center" wrapText="1"/>
    </xf>
    <xf numFmtId="0" fontId="0" fillId="0" borderId="0" xfId="0" applyAlignment="1">
      <alignment horizontal="center" vertical="center" wrapText="1"/>
    </xf>
    <xf numFmtId="0" fontId="0" fillId="0" borderId="0" xfId="0" applyAlignment="1">
      <alignment horizontal="left" vertical="center" wrapText="1"/>
    </xf>
    <xf numFmtId="0" fontId="0" fillId="0" borderId="0" xfId="0" applyAlignment="1">
      <alignment vertical="center" wrapText="1"/>
    </xf>
    <xf numFmtId="0" fontId="4" fillId="0" borderId="0" xfId="0" applyFont="1" applyAlignment="1">
      <alignment vertical="center" wrapText="1"/>
    </xf>
    <xf numFmtId="0" fontId="0" fillId="0" borderId="0" xfId="0" applyAlignment="1">
      <alignment horizontal="center" vertical="center"/>
    </xf>
    <xf numFmtId="0" fontId="4" fillId="0" borderId="0" xfId="0" applyFont="1" applyAlignment="1">
      <alignment horizontal="center" vertical="center"/>
    </xf>
    <xf numFmtId="0" fontId="0" fillId="0" borderId="0" xfId="0" applyAlignment="1">
      <alignment vertical="center"/>
    </xf>
    <xf numFmtId="0" fontId="4" fillId="0" borderId="0" xfId="0" applyFont="1" applyAlignment="1">
      <alignment vertical="center"/>
    </xf>
    <xf numFmtId="0" fontId="4" fillId="0" borderId="0" xfId="0" applyFont="1" applyAlignment="1">
      <alignment horizontal="center" vertical="center" wrapText="1"/>
    </xf>
    <xf numFmtId="0" fontId="2" fillId="0" borderId="0" xfId="0" applyFont="1" applyAlignment="1">
      <alignment horizontal="center" vertical="center"/>
    </xf>
    <xf numFmtId="0" fontId="4" fillId="0" borderId="0" xfId="0" applyFont="1" applyAlignment="1">
      <alignment horizontal="center" vertical="center"/>
    </xf>
    <xf numFmtId="0" fontId="5" fillId="3" borderId="5" xfId="0" applyFont="1" applyFill="1" applyBorder="1" applyAlignment="1">
      <alignment horizontal="center" vertical="top"/>
    </xf>
    <xf numFmtId="0" fontId="5" fillId="3" borderId="6" xfId="0" applyFont="1" applyFill="1" applyBorder="1" applyAlignment="1">
      <alignment horizontal="center" vertical="top"/>
    </xf>
    <xf numFmtId="0" fontId="5" fillId="3" borderId="7" xfId="0" applyFont="1" applyFill="1" applyBorder="1" applyAlignment="1">
      <alignment horizontal="center" vertical="top"/>
    </xf>
    <xf numFmtId="0" fontId="4" fillId="0" borderId="0" xfId="0" applyFont="1" applyAlignment="1">
      <alignment horizontal="left" vertical="center" wrapText="1"/>
    </xf>
  </cellXfs>
  <cellStyles count="2">
    <cellStyle name="Normal" xfId="0" builtinId="0"/>
    <cellStyle name="Normal 2" xfId="1" xr:uid="{8A8C821D-C0A4-4E8C-8E69-877CD3B7D532}"/>
  </cellStyles>
  <dxfs count="27">
    <dxf>
      <font>
        <b/>
        <i val="0"/>
      </font>
    </dxf>
    <dxf>
      <fill>
        <patternFill>
          <fgColor rgb="FF00B050"/>
          <bgColor rgb="FF92D050"/>
        </patternFill>
      </fill>
    </dxf>
    <dxf>
      <fill>
        <patternFill>
          <bgColor rgb="FFFFFF00"/>
        </patternFill>
      </fill>
    </dxf>
    <dxf>
      <fill>
        <patternFill>
          <bgColor rgb="FFFF0000"/>
        </patternFill>
      </fill>
    </dxf>
    <dxf>
      <font>
        <b/>
        <i val="0"/>
      </font>
    </dxf>
    <dxf>
      <fill>
        <patternFill>
          <fgColor rgb="FF00B050"/>
          <bgColor rgb="FF92D050"/>
        </patternFill>
      </fill>
    </dxf>
    <dxf>
      <fill>
        <patternFill>
          <bgColor rgb="FFFFFF00"/>
        </patternFill>
      </fill>
    </dxf>
    <dxf>
      <fill>
        <patternFill>
          <bgColor rgb="FFFF0000"/>
        </patternFill>
      </fill>
    </dxf>
    <dxf>
      <numFmt numFmtId="0" formatCode="General"/>
      <alignment horizontal="center" vertical="center" textRotation="0" wrapText="0" indent="0" justifyLastLine="0" shrinkToFit="0" readingOrder="0"/>
    </dxf>
    <dxf>
      <fill>
        <patternFill>
          <fgColor rgb="FF00B050"/>
          <bgColor rgb="FF92D050"/>
        </patternFill>
      </fill>
    </dxf>
    <dxf>
      <fill>
        <patternFill>
          <bgColor rgb="FFFFFF00"/>
        </patternFill>
      </fill>
    </dxf>
    <dxf>
      <fill>
        <patternFill>
          <bgColor rgb="FFFF0000"/>
        </patternFill>
      </fill>
    </dxf>
    <dxf>
      <fill>
        <patternFill>
          <fgColor rgb="FF00B050"/>
          <bgColor rgb="FF92D050"/>
        </patternFill>
      </fill>
    </dxf>
    <dxf>
      <fill>
        <patternFill>
          <bgColor rgb="FFFFFF00"/>
        </patternFill>
      </fill>
    </dxf>
    <dxf>
      <fill>
        <patternFill>
          <bgColor rgb="FFFF0000"/>
        </patternFill>
      </fill>
    </dxf>
    <dxf>
      <alignment horizontal="general" vertical="center"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left"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0"/>
        <color auto="1"/>
        <name val="Arial"/>
        <family val="2"/>
        <scheme val="none"/>
      </font>
      <fill>
        <patternFill patternType="none">
          <fgColor indexed="64"/>
          <bgColor indexed="65"/>
        </patternFill>
      </fill>
      <alignment horizontal="general"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71E0ABB-2CB7-4F30-B614-D9D3F47E65F2}" name="Table1" displayName="Table1" ref="B3:L34" totalsRowShown="0" headerRowDxfId="26" dataDxfId="25">
  <autoFilter ref="B3:L34" xr:uid="{F71E0ABB-2CB7-4F30-B614-D9D3F47E65F2}"/>
  <tableColumns count="11">
    <tableColumn id="1" xr3:uid="{736B15C0-0F35-48DB-84DE-CEEBE506D676}" name="Ref #" dataDxfId="24"/>
    <tableColumn id="2" xr3:uid="{B3FFA252-2A18-4F52-93A6-87934BBA95B9}" name="Issue Name" dataDxfId="23"/>
    <tableColumn id="3" xr3:uid="{E0DD0BBC-368D-42CC-AF91-AB2733085A76}" name="Issue Description" dataDxfId="22"/>
    <tableColumn id="4" xr3:uid="{80E5263E-10D7-43F9-9EF0-114304CB78A4}" name="Response Plan" dataDxfId="21"/>
    <tableColumn id="5" xr3:uid="{D6E73ED4-DD96-44AA-B965-D555E4A0C3A1}" name="Owner" dataDxfId="20"/>
    <tableColumn id="6" xr3:uid="{29AEA3B4-518D-4AE6-AD8C-6AAF74220C48}" name="Probability_x000a_(1 to 10)" dataDxfId="19"/>
    <tableColumn id="7" xr3:uid="{CEDADF23-4B40-4C9D-BCD7-700102FAD97A}" name="Severity_x000a_(1 to 10)" dataDxfId="18"/>
    <tableColumn id="8" xr3:uid="{B2921CAE-A3B5-4A34-B3AA-FC083952FC9C}" name="Detection_x000a_(1 to 10)" dataDxfId="17"/>
    <tableColumn id="9" xr3:uid="{B04E42AE-7EAB-4978-A905-E0027E6B4FE2}" name="RPN" dataDxfId="8">
      <calculatedColumnFormula>Table1[[#This Row],[Probability
(1 to 10)]]*Table1[[#This Row],[Severity
(1 to 10)]]*Table1[[#This Row],[Detection
(1 to 10)]]</calculatedColumnFormula>
    </tableColumn>
    <tableColumn id="10" xr3:uid="{C8C3B578-51C9-4026-993C-2C9CE708190B}" name="Status" dataDxfId="16"/>
    <tableColumn id="11" xr3:uid="{E106A908-5D4E-4D05-AD4E-3176C7CB82CB}" name="Comments" dataDxfId="15"/>
  </tableColumns>
  <tableStyleInfo name="TableStyleMedium4"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D54AE9-AD50-4893-9483-FE881AED0BFB}">
  <sheetPr>
    <tabColor rgb="FFFFC000"/>
    <pageSetUpPr fitToPage="1"/>
  </sheetPr>
  <dimension ref="A1:F36"/>
  <sheetViews>
    <sheetView topLeftCell="A20" workbookViewId="0">
      <selection activeCell="C18" sqref="C18"/>
    </sheetView>
  </sheetViews>
  <sheetFormatPr defaultRowHeight="13.2" x14ac:dyDescent="0.25"/>
  <cols>
    <col min="1" max="1" width="34.5546875" bestFit="1" customWidth="1"/>
    <col min="2" max="2" width="57.44140625" style="2" customWidth="1"/>
    <col min="3" max="3" width="9.109375" customWidth="1"/>
  </cols>
  <sheetData>
    <row r="1" spans="1:6" ht="15.6" x14ac:dyDescent="0.25">
      <c r="A1" s="27" t="s">
        <v>5</v>
      </c>
      <c r="B1" s="28"/>
      <c r="C1" s="29"/>
      <c r="D1" s="9"/>
      <c r="E1" s="9"/>
      <c r="F1" s="9"/>
    </row>
    <row r="2" spans="1:6" ht="30" customHeight="1" x14ac:dyDescent="0.25">
      <c r="A2" s="5" t="s">
        <v>6</v>
      </c>
      <c r="B2" s="5" t="s">
        <v>7</v>
      </c>
      <c r="C2" s="5" t="s">
        <v>8</v>
      </c>
    </row>
    <row r="3" spans="1:6" ht="15" customHeight="1" x14ac:dyDescent="0.25">
      <c r="A3" s="6" t="s">
        <v>9</v>
      </c>
      <c r="B3" s="1" t="s">
        <v>10</v>
      </c>
      <c r="C3" s="4">
        <v>10</v>
      </c>
    </row>
    <row r="4" spans="1:6" ht="15" customHeight="1" x14ac:dyDescent="0.25">
      <c r="A4" s="7"/>
      <c r="B4" s="1" t="s">
        <v>11</v>
      </c>
      <c r="C4" s="4">
        <v>9</v>
      </c>
    </row>
    <row r="5" spans="1:6" ht="15" customHeight="1" x14ac:dyDescent="0.25">
      <c r="A5" s="6" t="s">
        <v>12</v>
      </c>
      <c r="B5" s="1" t="s">
        <v>13</v>
      </c>
      <c r="C5" s="4">
        <v>8</v>
      </c>
    </row>
    <row r="6" spans="1:6" ht="15" customHeight="1" x14ac:dyDescent="0.25">
      <c r="A6" s="7"/>
      <c r="B6" s="1" t="s">
        <v>14</v>
      </c>
      <c r="C6" s="4">
        <v>7</v>
      </c>
    </row>
    <row r="7" spans="1:6" ht="15" customHeight="1" x14ac:dyDescent="0.25">
      <c r="A7" s="6" t="s">
        <v>15</v>
      </c>
      <c r="B7" s="1" t="s">
        <v>16</v>
      </c>
      <c r="C7" s="4">
        <v>6</v>
      </c>
    </row>
    <row r="8" spans="1:6" ht="15" customHeight="1" x14ac:dyDescent="0.25">
      <c r="A8" s="8"/>
      <c r="B8" s="1" t="s">
        <v>17</v>
      </c>
      <c r="C8" s="4">
        <v>5</v>
      </c>
    </row>
    <row r="9" spans="1:6" ht="15" customHeight="1" x14ac:dyDescent="0.25">
      <c r="A9" s="7"/>
      <c r="B9" s="1" t="s">
        <v>18</v>
      </c>
      <c r="C9" s="4">
        <v>4</v>
      </c>
    </row>
    <row r="10" spans="1:6" ht="15" customHeight="1" x14ac:dyDescent="0.25">
      <c r="A10" s="6" t="s">
        <v>19</v>
      </c>
      <c r="B10" s="1" t="s">
        <v>20</v>
      </c>
      <c r="C10" s="4">
        <v>3</v>
      </c>
    </row>
    <row r="11" spans="1:6" ht="15" customHeight="1" x14ac:dyDescent="0.25">
      <c r="A11" s="7"/>
      <c r="B11" s="1" t="s">
        <v>21</v>
      </c>
      <c r="C11" s="4">
        <v>2</v>
      </c>
    </row>
    <row r="12" spans="1:6" ht="15" customHeight="1" x14ac:dyDescent="0.25">
      <c r="A12" s="4" t="s">
        <v>22</v>
      </c>
      <c r="B12" s="1" t="s">
        <v>23</v>
      </c>
      <c r="C12" s="4">
        <v>1</v>
      </c>
    </row>
    <row r="13" spans="1:6" ht="15.6" x14ac:dyDescent="0.25">
      <c r="A13" s="27" t="s">
        <v>24</v>
      </c>
      <c r="B13" s="28"/>
      <c r="C13" s="29"/>
      <c r="D13" s="9"/>
      <c r="E13" s="9"/>
      <c r="F13" s="9"/>
    </row>
    <row r="14" spans="1:6" ht="30" customHeight="1" x14ac:dyDescent="0.25">
      <c r="A14" s="5" t="s">
        <v>25</v>
      </c>
      <c r="B14" s="5" t="s">
        <v>26</v>
      </c>
      <c r="C14" s="5" t="s">
        <v>8</v>
      </c>
    </row>
    <row r="15" spans="1:6" ht="30" customHeight="1" x14ac:dyDescent="0.25">
      <c r="A15" s="10" t="s">
        <v>27</v>
      </c>
      <c r="B15" s="11" t="s">
        <v>28</v>
      </c>
      <c r="C15" s="4">
        <v>10</v>
      </c>
    </row>
    <row r="16" spans="1:6" ht="30" customHeight="1" x14ac:dyDescent="0.25">
      <c r="A16" s="10" t="s">
        <v>29</v>
      </c>
      <c r="B16" s="11" t="s">
        <v>30</v>
      </c>
      <c r="C16" s="4">
        <v>9</v>
      </c>
    </row>
    <row r="17" spans="1:6" ht="30" customHeight="1" x14ac:dyDescent="0.25">
      <c r="A17" s="10" t="s">
        <v>31</v>
      </c>
      <c r="B17" s="11" t="s">
        <v>32</v>
      </c>
      <c r="C17" s="4">
        <v>8</v>
      </c>
    </row>
    <row r="18" spans="1:6" ht="30" customHeight="1" x14ac:dyDescent="0.25">
      <c r="A18" s="10" t="s">
        <v>33</v>
      </c>
      <c r="B18" s="11" t="s">
        <v>34</v>
      </c>
      <c r="C18" s="4">
        <v>7</v>
      </c>
    </row>
    <row r="19" spans="1:6" ht="30" customHeight="1" x14ac:dyDescent="0.25">
      <c r="A19" s="10" t="s">
        <v>35</v>
      </c>
      <c r="B19" s="11" t="s">
        <v>36</v>
      </c>
      <c r="C19" s="4">
        <v>6</v>
      </c>
    </row>
    <row r="20" spans="1:6" ht="30" customHeight="1" x14ac:dyDescent="0.25">
      <c r="A20" s="10" t="s">
        <v>37</v>
      </c>
      <c r="B20" s="11" t="s">
        <v>38</v>
      </c>
      <c r="C20" s="4">
        <v>5</v>
      </c>
    </row>
    <row r="21" spans="1:6" ht="30" customHeight="1" x14ac:dyDescent="0.25">
      <c r="A21" s="10" t="s">
        <v>39</v>
      </c>
      <c r="B21" s="11" t="s">
        <v>40</v>
      </c>
      <c r="C21" s="4">
        <v>4</v>
      </c>
    </row>
    <row r="22" spans="1:6" ht="30" customHeight="1" x14ac:dyDescent="0.25">
      <c r="A22" s="10" t="s">
        <v>41</v>
      </c>
      <c r="B22" s="11" t="s">
        <v>42</v>
      </c>
      <c r="C22" s="4">
        <v>3</v>
      </c>
    </row>
    <row r="23" spans="1:6" ht="30" customHeight="1" x14ac:dyDescent="0.25">
      <c r="A23" s="10" t="s">
        <v>43</v>
      </c>
      <c r="B23" s="11" t="s">
        <v>44</v>
      </c>
      <c r="C23" s="4">
        <v>2</v>
      </c>
    </row>
    <row r="24" spans="1:6" ht="30" customHeight="1" x14ac:dyDescent="0.25">
      <c r="A24" s="10" t="s">
        <v>22</v>
      </c>
      <c r="B24" s="11" t="s">
        <v>45</v>
      </c>
      <c r="C24" s="4">
        <v>1</v>
      </c>
    </row>
    <row r="25" spans="1:6" ht="15.6" x14ac:dyDescent="0.25">
      <c r="A25" s="14"/>
      <c r="B25" s="27" t="s">
        <v>46</v>
      </c>
      <c r="C25" s="29"/>
      <c r="D25" s="9"/>
      <c r="E25" s="9"/>
      <c r="F25" s="9"/>
    </row>
    <row r="26" spans="1:6" ht="30" customHeight="1" x14ac:dyDescent="0.25">
      <c r="A26" s="13"/>
      <c r="B26" s="5" t="s">
        <v>47</v>
      </c>
      <c r="C26" s="5" t="s">
        <v>8</v>
      </c>
    </row>
    <row r="27" spans="1:6" ht="30" customHeight="1" x14ac:dyDescent="0.25">
      <c r="A27" s="12"/>
      <c r="B27" s="10" t="s">
        <v>48</v>
      </c>
      <c r="C27" s="4">
        <v>10</v>
      </c>
    </row>
    <row r="28" spans="1:6" ht="30" customHeight="1" x14ac:dyDescent="0.25">
      <c r="A28" s="12"/>
      <c r="B28" s="10" t="s">
        <v>49</v>
      </c>
      <c r="C28" s="4">
        <v>9</v>
      </c>
    </row>
    <row r="29" spans="1:6" ht="30" customHeight="1" x14ac:dyDescent="0.25">
      <c r="A29" s="12"/>
      <c r="B29" s="10" t="s">
        <v>50</v>
      </c>
      <c r="C29" s="4">
        <v>8</v>
      </c>
    </row>
    <row r="30" spans="1:6" ht="30" customHeight="1" x14ac:dyDescent="0.25">
      <c r="A30" s="12"/>
      <c r="B30" s="10" t="s">
        <v>39</v>
      </c>
      <c r="C30" s="4">
        <v>7</v>
      </c>
    </row>
    <row r="31" spans="1:6" ht="30" customHeight="1" x14ac:dyDescent="0.25">
      <c r="A31" s="12"/>
      <c r="B31" s="10" t="s">
        <v>37</v>
      </c>
      <c r="C31" s="4">
        <v>6</v>
      </c>
    </row>
    <row r="32" spans="1:6" ht="30" customHeight="1" x14ac:dyDescent="0.25">
      <c r="A32" s="12"/>
      <c r="B32" s="10" t="s">
        <v>51</v>
      </c>
      <c r="C32" s="4">
        <v>5</v>
      </c>
    </row>
    <row r="33" spans="1:3" ht="30" customHeight="1" x14ac:dyDescent="0.25">
      <c r="A33" s="12"/>
      <c r="B33" s="10" t="s">
        <v>52</v>
      </c>
      <c r="C33" s="4">
        <v>4</v>
      </c>
    </row>
    <row r="34" spans="1:3" ht="30" customHeight="1" x14ac:dyDescent="0.25">
      <c r="A34" s="12"/>
      <c r="B34" s="10" t="s">
        <v>53</v>
      </c>
      <c r="C34" s="4">
        <v>3</v>
      </c>
    </row>
    <row r="35" spans="1:3" ht="30" customHeight="1" x14ac:dyDescent="0.25">
      <c r="A35" s="12"/>
      <c r="B35" s="10" t="s">
        <v>54</v>
      </c>
      <c r="C35" s="4">
        <v>2</v>
      </c>
    </row>
    <row r="36" spans="1:3" ht="30" customHeight="1" x14ac:dyDescent="0.25">
      <c r="A36" s="12"/>
      <c r="B36" s="10" t="s">
        <v>55</v>
      </c>
      <c r="C36" s="4">
        <v>1</v>
      </c>
    </row>
  </sheetData>
  <mergeCells count="3">
    <mergeCell ref="A1:C1"/>
    <mergeCell ref="A13:C13"/>
    <mergeCell ref="B25:C25"/>
  </mergeCells>
  <phoneticPr fontId="3" type="noConversion"/>
  <pageMargins left="0.75" right="0.75" top="1" bottom="1" header="0.5" footer="0.5"/>
  <pageSetup scale="75" orientation="portrait" r:id="rId1"/>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322FE7-B711-4559-A98F-9E64C387F534}">
  <sheetPr>
    <tabColor rgb="FFFFC000"/>
  </sheetPr>
  <dimension ref="B1:L34"/>
  <sheetViews>
    <sheetView tabSelected="1" topLeftCell="A18" workbookViewId="0">
      <selection activeCell="E25" sqref="E25"/>
    </sheetView>
  </sheetViews>
  <sheetFormatPr defaultRowHeight="13.2" x14ac:dyDescent="0.25"/>
  <cols>
    <col min="1" max="1" width="2.6640625" customWidth="1"/>
    <col min="3" max="3" width="27.109375" customWidth="1"/>
    <col min="4" max="4" width="36.88671875" customWidth="1"/>
    <col min="5" max="5" width="60.44140625" customWidth="1"/>
    <col min="6" max="6" width="12.33203125" customWidth="1"/>
    <col min="7" max="9" width="14.6640625" style="2" customWidth="1"/>
    <col min="10" max="10" width="12.109375" style="2" customWidth="1"/>
    <col min="11" max="11" width="13.5546875" style="2" customWidth="1"/>
    <col min="12" max="12" width="29.5546875" customWidth="1"/>
  </cols>
  <sheetData>
    <row r="1" spans="2:12" ht="19.5" customHeight="1" x14ac:dyDescent="0.25">
      <c r="B1" s="25" t="s">
        <v>146</v>
      </c>
      <c r="C1" s="25"/>
      <c r="D1" s="25"/>
      <c r="E1" s="25"/>
      <c r="F1" s="25"/>
      <c r="G1" s="25"/>
      <c r="H1" s="25"/>
      <c r="I1" s="25"/>
      <c r="J1" s="25"/>
      <c r="K1" s="25"/>
      <c r="L1" s="25"/>
    </row>
    <row r="2" spans="2:12" ht="19.5" customHeight="1" x14ac:dyDescent="0.25">
      <c r="B2" s="26" t="s">
        <v>192</v>
      </c>
      <c r="C2" s="26"/>
      <c r="D2" s="26"/>
      <c r="E2" s="26"/>
      <c r="F2" s="26"/>
      <c r="G2" s="26"/>
      <c r="H2" s="26"/>
      <c r="I2" s="26"/>
      <c r="J2" s="26"/>
      <c r="K2" s="26"/>
      <c r="L2" s="26"/>
    </row>
    <row r="3" spans="2:12" s="3" customFormat="1" ht="27" customHeight="1" x14ac:dyDescent="0.25">
      <c r="B3" s="15" t="s">
        <v>0</v>
      </c>
      <c r="C3" s="15" t="s">
        <v>156</v>
      </c>
      <c r="D3" s="15" t="s">
        <v>157</v>
      </c>
      <c r="E3" s="15" t="s">
        <v>158</v>
      </c>
      <c r="F3" s="13" t="s">
        <v>1</v>
      </c>
      <c r="G3" s="13" t="s">
        <v>100</v>
      </c>
      <c r="H3" s="13" t="s">
        <v>101</v>
      </c>
      <c r="I3" s="13" t="s">
        <v>102</v>
      </c>
      <c r="J3" s="13" t="s">
        <v>4</v>
      </c>
      <c r="K3" s="13" t="s">
        <v>2</v>
      </c>
      <c r="L3" s="15" t="s">
        <v>3</v>
      </c>
    </row>
    <row r="4" spans="2:12" s="22" customFormat="1" ht="26.4" x14ac:dyDescent="0.25">
      <c r="B4" s="16" t="s">
        <v>124</v>
      </c>
      <c r="C4" s="17" t="s">
        <v>56</v>
      </c>
      <c r="D4" s="18" t="s">
        <v>57</v>
      </c>
      <c r="E4" s="19" t="s">
        <v>117</v>
      </c>
      <c r="F4" s="24" t="s">
        <v>147</v>
      </c>
      <c r="G4" s="20">
        <v>8</v>
      </c>
      <c r="H4" s="20">
        <v>9</v>
      </c>
      <c r="I4" s="20">
        <v>1</v>
      </c>
      <c r="J4" s="20">
        <f>Table1[[#This Row],[Probability
(1 to 10)]]*Table1[[#This Row],[Severity
(1 to 10)]]*Table1[[#This Row],[Detection
(1 to 10)]]</f>
        <v>72</v>
      </c>
      <c r="K4" s="21" t="s">
        <v>148</v>
      </c>
      <c r="L4" s="18" t="s">
        <v>149</v>
      </c>
    </row>
    <row r="5" spans="2:12" s="22" customFormat="1" ht="26.4" x14ac:dyDescent="0.25">
      <c r="B5" s="16" t="s">
        <v>125</v>
      </c>
      <c r="C5" s="17" t="s">
        <v>59</v>
      </c>
      <c r="D5" s="18" t="s">
        <v>60</v>
      </c>
      <c r="E5" s="19" t="s">
        <v>116</v>
      </c>
      <c r="F5" s="24" t="s">
        <v>147</v>
      </c>
      <c r="G5" s="20">
        <v>7</v>
      </c>
      <c r="H5" s="20">
        <v>8</v>
      </c>
      <c r="I5" s="20">
        <v>1</v>
      </c>
      <c r="J5" s="20">
        <f>Table1[[#This Row],[Probability
(1 to 10)]]*Table1[[#This Row],[Severity
(1 to 10)]]*Table1[[#This Row],[Detection
(1 to 10)]]</f>
        <v>56</v>
      </c>
      <c r="K5" s="21" t="s">
        <v>148</v>
      </c>
      <c r="L5" s="19" t="s">
        <v>150</v>
      </c>
    </row>
    <row r="6" spans="2:12" s="22" customFormat="1" ht="26.4" x14ac:dyDescent="0.25">
      <c r="B6" s="16" t="s">
        <v>126</v>
      </c>
      <c r="C6" s="17" t="s">
        <v>61</v>
      </c>
      <c r="D6" s="18" t="s">
        <v>62</v>
      </c>
      <c r="E6" s="19" t="s">
        <v>115</v>
      </c>
      <c r="F6" s="24" t="s">
        <v>147</v>
      </c>
      <c r="G6" s="20">
        <v>6</v>
      </c>
      <c r="H6" s="20">
        <v>9</v>
      </c>
      <c r="I6" s="20">
        <v>1</v>
      </c>
      <c r="J6" s="20">
        <f>Table1[[#This Row],[Probability
(1 to 10)]]*Table1[[#This Row],[Severity
(1 to 10)]]*Table1[[#This Row],[Detection
(1 to 10)]]</f>
        <v>54</v>
      </c>
      <c r="K6" s="21" t="s">
        <v>148</v>
      </c>
      <c r="L6" s="19" t="s">
        <v>150</v>
      </c>
    </row>
    <row r="7" spans="2:12" s="22" customFormat="1" ht="26.4" x14ac:dyDescent="0.25">
      <c r="B7" s="16" t="s">
        <v>127</v>
      </c>
      <c r="C7" s="17" t="s">
        <v>63</v>
      </c>
      <c r="D7" s="18" t="s">
        <v>64</v>
      </c>
      <c r="E7" s="19" t="s">
        <v>114</v>
      </c>
      <c r="F7" s="24" t="s">
        <v>147</v>
      </c>
      <c r="G7" s="20">
        <v>7</v>
      </c>
      <c r="H7" s="20">
        <v>9</v>
      </c>
      <c r="I7" s="20">
        <v>1</v>
      </c>
      <c r="J7" s="20">
        <f>Table1[[#This Row],[Probability
(1 to 10)]]*Table1[[#This Row],[Severity
(1 to 10)]]*Table1[[#This Row],[Detection
(1 to 10)]]</f>
        <v>63</v>
      </c>
      <c r="K7" s="21" t="s">
        <v>148</v>
      </c>
      <c r="L7" s="19" t="s">
        <v>150</v>
      </c>
    </row>
    <row r="8" spans="2:12" s="22" customFormat="1" ht="79.2" x14ac:dyDescent="0.25">
      <c r="B8" s="16" t="s">
        <v>128</v>
      </c>
      <c r="C8" s="17" t="s">
        <v>65</v>
      </c>
      <c r="D8" s="18" t="s">
        <v>66</v>
      </c>
      <c r="E8" s="19" t="s">
        <v>105</v>
      </c>
      <c r="F8" s="24" t="s">
        <v>147</v>
      </c>
      <c r="G8" s="20">
        <v>6</v>
      </c>
      <c r="H8" s="20">
        <v>7</v>
      </c>
      <c r="I8" s="20">
        <v>3</v>
      </c>
      <c r="J8" s="20">
        <f>Table1[[#This Row],[Probability
(1 to 10)]]*Table1[[#This Row],[Severity
(1 to 10)]]*Table1[[#This Row],[Detection
(1 to 10)]]</f>
        <v>126</v>
      </c>
      <c r="K8" s="21" t="s">
        <v>148</v>
      </c>
      <c r="L8" s="19" t="s">
        <v>151</v>
      </c>
    </row>
    <row r="9" spans="2:12" s="22" customFormat="1" ht="39.6" x14ac:dyDescent="0.25">
      <c r="B9" s="16" t="s">
        <v>129</v>
      </c>
      <c r="C9" s="17" t="s">
        <v>67</v>
      </c>
      <c r="D9" s="18" t="s">
        <v>68</v>
      </c>
      <c r="E9" s="19" t="s">
        <v>104</v>
      </c>
      <c r="F9" s="24" t="s">
        <v>147</v>
      </c>
      <c r="G9" s="20">
        <v>3</v>
      </c>
      <c r="H9" s="20">
        <v>8</v>
      </c>
      <c r="I9" s="20">
        <v>2</v>
      </c>
      <c r="J9" s="20">
        <f>Table1[[#This Row],[Probability
(1 to 10)]]*Table1[[#This Row],[Severity
(1 to 10)]]*Table1[[#This Row],[Detection
(1 to 10)]]</f>
        <v>48</v>
      </c>
      <c r="K9" s="21" t="s">
        <v>148</v>
      </c>
      <c r="L9" s="18"/>
    </row>
    <row r="10" spans="2:12" s="22" customFormat="1" ht="24.9" customHeight="1" x14ac:dyDescent="0.25">
      <c r="B10" s="16" t="s">
        <v>130</v>
      </c>
      <c r="C10" s="17" t="s">
        <v>69</v>
      </c>
      <c r="D10" s="18" t="s">
        <v>70</v>
      </c>
      <c r="E10" s="19" t="s">
        <v>103</v>
      </c>
      <c r="F10" s="24" t="s">
        <v>147</v>
      </c>
      <c r="G10" s="20">
        <v>5</v>
      </c>
      <c r="H10" s="20">
        <v>7</v>
      </c>
      <c r="I10" s="20">
        <v>3</v>
      </c>
      <c r="J10" s="20">
        <f>Table1[[#This Row],[Probability
(1 to 10)]]*Table1[[#This Row],[Severity
(1 to 10)]]*Table1[[#This Row],[Detection
(1 to 10)]]</f>
        <v>105</v>
      </c>
      <c r="K10" s="21" t="s">
        <v>148</v>
      </c>
      <c r="L10" s="18"/>
    </row>
    <row r="11" spans="2:12" s="22" customFormat="1" ht="24.9" customHeight="1" x14ac:dyDescent="0.25">
      <c r="B11" s="16" t="s">
        <v>131</v>
      </c>
      <c r="C11" s="17" t="s">
        <v>71</v>
      </c>
      <c r="D11" s="18" t="s">
        <v>72</v>
      </c>
      <c r="E11" s="19" t="s">
        <v>108</v>
      </c>
      <c r="F11" s="24" t="s">
        <v>147</v>
      </c>
      <c r="G11" s="20">
        <v>5</v>
      </c>
      <c r="H11" s="20">
        <v>6</v>
      </c>
      <c r="I11" s="20">
        <v>2</v>
      </c>
      <c r="J11" s="20">
        <f>Table1[[#This Row],[Probability
(1 to 10)]]*Table1[[#This Row],[Severity
(1 to 10)]]*Table1[[#This Row],[Detection
(1 to 10)]]</f>
        <v>60</v>
      </c>
      <c r="K11" s="21" t="s">
        <v>148</v>
      </c>
      <c r="L11" s="18"/>
    </row>
    <row r="12" spans="2:12" s="22" customFormat="1" ht="24.9" customHeight="1" x14ac:dyDescent="0.25">
      <c r="B12" s="16" t="s">
        <v>132</v>
      </c>
      <c r="C12" s="17" t="s">
        <v>73</v>
      </c>
      <c r="D12" s="18" t="s">
        <v>74</v>
      </c>
      <c r="E12" s="19" t="s">
        <v>109</v>
      </c>
      <c r="F12" s="24" t="s">
        <v>147</v>
      </c>
      <c r="G12" s="20">
        <v>3</v>
      </c>
      <c r="H12" s="20">
        <v>7</v>
      </c>
      <c r="I12" s="20">
        <v>4</v>
      </c>
      <c r="J12" s="20">
        <f>Table1[[#This Row],[Probability
(1 to 10)]]*Table1[[#This Row],[Severity
(1 to 10)]]*Table1[[#This Row],[Detection
(1 to 10)]]</f>
        <v>84</v>
      </c>
      <c r="K12" s="21" t="s">
        <v>148</v>
      </c>
      <c r="L12" s="18"/>
    </row>
    <row r="13" spans="2:12" s="22" customFormat="1" ht="39.6" x14ac:dyDescent="0.25">
      <c r="B13" s="16" t="s">
        <v>133</v>
      </c>
      <c r="C13" s="17" t="s">
        <v>75</v>
      </c>
      <c r="D13" s="18" t="s">
        <v>76</v>
      </c>
      <c r="E13" s="19" t="s">
        <v>110</v>
      </c>
      <c r="F13" s="24" t="s">
        <v>147</v>
      </c>
      <c r="G13" s="20">
        <v>4</v>
      </c>
      <c r="H13" s="20">
        <v>8</v>
      </c>
      <c r="I13" s="20">
        <v>2</v>
      </c>
      <c r="J13" s="20">
        <f>Table1[[#This Row],[Probability
(1 to 10)]]*Table1[[#This Row],[Severity
(1 to 10)]]*Table1[[#This Row],[Detection
(1 to 10)]]</f>
        <v>64</v>
      </c>
      <c r="K13" s="21" t="s">
        <v>148</v>
      </c>
      <c r="L13" s="18"/>
    </row>
    <row r="14" spans="2:12" s="22" customFormat="1" ht="24.9" customHeight="1" x14ac:dyDescent="0.25">
      <c r="B14" s="16" t="s">
        <v>134</v>
      </c>
      <c r="C14" s="17" t="s">
        <v>77</v>
      </c>
      <c r="D14" s="18" t="s">
        <v>78</v>
      </c>
      <c r="E14" s="19" t="s">
        <v>118</v>
      </c>
      <c r="F14" s="24" t="s">
        <v>147</v>
      </c>
      <c r="G14" s="20">
        <v>3</v>
      </c>
      <c r="H14" s="20">
        <v>8</v>
      </c>
      <c r="I14" s="20">
        <v>4</v>
      </c>
      <c r="J14" s="20">
        <f>Table1[[#This Row],[Probability
(1 to 10)]]*Table1[[#This Row],[Severity
(1 to 10)]]*Table1[[#This Row],[Detection
(1 to 10)]]</f>
        <v>96</v>
      </c>
      <c r="K14" s="21" t="s">
        <v>148</v>
      </c>
      <c r="L14" s="18"/>
    </row>
    <row r="15" spans="2:12" s="22" customFormat="1" ht="39.6" x14ac:dyDescent="0.25">
      <c r="B15" s="16" t="s">
        <v>135</v>
      </c>
      <c r="C15" s="17" t="s">
        <v>79</v>
      </c>
      <c r="D15" s="18" t="s">
        <v>80</v>
      </c>
      <c r="E15" s="19" t="s">
        <v>152</v>
      </c>
      <c r="F15" s="24" t="s">
        <v>147</v>
      </c>
      <c r="G15" s="20">
        <v>5</v>
      </c>
      <c r="H15" s="20">
        <v>8</v>
      </c>
      <c r="I15" s="20">
        <v>3</v>
      </c>
      <c r="J15" s="20">
        <f>Table1[[#This Row],[Probability
(1 to 10)]]*Table1[[#This Row],[Severity
(1 to 10)]]*Table1[[#This Row],[Detection
(1 to 10)]]</f>
        <v>120</v>
      </c>
      <c r="K15" s="21" t="s">
        <v>148</v>
      </c>
      <c r="L15" s="18"/>
    </row>
    <row r="16" spans="2:12" s="22" customFormat="1" ht="26.4" x14ac:dyDescent="0.25">
      <c r="B16" s="16" t="s">
        <v>136</v>
      </c>
      <c r="C16" s="17" t="s">
        <v>81</v>
      </c>
      <c r="D16" s="18" t="s">
        <v>82</v>
      </c>
      <c r="E16" s="19" t="s">
        <v>123</v>
      </c>
      <c r="F16" s="24" t="s">
        <v>147</v>
      </c>
      <c r="G16" s="20">
        <v>5</v>
      </c>
      <c r="H16" s="20">
        <v>7</v>
      </c>
      <c r="I16" s="20">
        <v>2</v>
      </c>
      <c r="J16" s="20">
        <f>Table1[[#This Row],[Probability
(1 to 10)]]*Table1[[#This Row],[Severity
(1 to 10)]]*Table1[[#This Row],[Detection
(1 to 10)]]</f>
        <v>70</v>
      </c>
      <c r="K16" s="21" t="s">
        <v>148</v>
      </c>
      <c r="L16" s="18"/>
    </row>
    <row r="17" spans="2:12" s="22" customFormat="1" ht="26.4" x14ac:dyDescent="0.25">
      <c r="B17" s="16" t="s">
        <v>137</v>
      </c>
      <c r="C17" s="17" t="s">
        <v>83</v>
      </c>
      <c r="D17" s="18" t="s">
        <v>84</v>
      </c>
      <c r="E17" s="19" t="s">
        <v>119</v>
      </c>
      <c r="F17" s="24" t="s">
        <v>147</v>
      </c>
      <c r="G17" s="20">
        <v>5</v>
      </c>
      <c r="H17" s="20">
        <v>8</v>
      </c>
      <c r="I17" s="20">
        <v>2</v>
      </c>
      <c r="J17" s="20">
        <f>Table1[[#This Row],[Probability
(1 to 10)]]*Table1[[#This Row],[Severity
(1 to 10)]]*Table1[[#This Row],[Detection
(1 to 10)]]</f>
        <v>80</v>
      </c>
      <c r="K17" s="21" t="s">
        <v>148</v>
      </c>
      <c r="L17" s="18"/>
    </row>
    <row r="18" spans="2:12" s="22" customFormat="1" ht="26.4" x14ac:dyDescent="0.25">
      <c r="B18" s="16" t="s">
        <v>138</v>
      </c>
      <c r="C18" s="17" t="s">
        <v>85</v>
      </c>
      <c r="D18" s="18" t="s">
        <v>86</v>
      </c>
      <c r="E18" s="19" t="s">
        <v>120</v>
      </c>
      <c r="F18" s="24" t="s">
        <v>147</v>
      </c>
      <c r="G18" s="20">
        <v>4</v>
      </c>
      <c r="H18" s="20">
        <v>6</v>
      </c>
      <c r="I18" s="20">
        <v>4</v>
      </c>
      <c r="J18" s="20">
        <f>Table1[[#This Row],[Probability
(1 to 10)]]*Table1[[#This Row],[Severity
(1 to 10)]]*Table1[[#This Row],[Detection
(1 to 10)]]</f>
        <v>96</v>
      </c>
      <c r="K18" s="21" t="s">
        <v>148</v>
      </c>
      <c r="L18" s="18"/>
    </row>
    <row r="19" spans="2:12" s="22" customFormat="1" ht="26.4" x14ac:dyDescent="0.25">
      <c r="B19" s="16" t="s">
        <v>139</v>
      </c>
      <c r="C19" s="17" t="s">
        <v>87</v>
      </c>
      <c r="D19" s="19" t="s">
        <v>112</v>
      </c>
      <c r="E19" s="19" t="s">
        <v>113</v>
      </c>
      <c r="F19" s="24" t="s">
        <v>147</v>
      </c>
      <c r="G19" s="20">
        <v>3</v>
      </c>
      <c r="H19" s="20">
        <v>6</v>
      </c>
      <c r="I19" s="20">
        <v>3</v>
      </c>
      <c r="J19" s="20">
        <f>Table1[[#This Row],[Probability
(1 to 10)]]*Table1[[#This Row],[Severity
(1 to 10)]]*Table1[[#This Row],[Detection
(1 to 10)]]</f>
        <v>54</v>
      </c>
      <c r="K19" s="21" t="s">
        <v>148</v>
      </c>
      <c r="L19" s="18"/>
    </row>
    <row r="20" spans="2:12" s="22" customFormat="1" ht="39.6" x14ac:dyDescent="0.25">
      <c r="B20" s="16" t="s">
        <v>140</v>
      </c>
      <c r="C20" s="17" t="s">
        <v>88</v>
      </c>
      <c r="D20" s="18" t="s">
        <v>89</v>
      </c>
      <c r="E20" s="19" t="s">
        <v>121</v>
      </c>
      <c r="F20" s="24" t="s">
        <v>147</v>
      </c>
      <c r="G20" s="20">
        <v>4</v>
      </c>
      <c r="H20" s="20">
        <v>9</v>
      </c>
      <c r="I20" s="20">
        <v>3</v>
      </c>
      <c r="J20" s="20">
        <f>Table1[[#This Row],[Probability
(1 to 10)]]*Table1[[#This Row],[Severity
(1 to 10)]]*Table1[[#This Row],[Detection
(1 to 10)]]</f>
        <v>108</v>
      </c>
      <c r="K20" s="21" t="s">
        <v>148</v>
      </c>
      <c r="L20" s="18"/>
    </row>
    <row r="21" spans="2:12" s="22" customFormat="1" ht="26.4" x14ac:dyDescent="0.25">
      <c r="B21" s="16" t="s">
        <v>141</v>
      </c>
      <c r="C21" s="17" t="s">
        <v>90</v>
      </c>
      <c r="D21" s="18" t="s">
        <v>91</v>
      </c>
      <c r="E21" s="19" t="s">
        <v>122</v>
      </c>
      <c r="F21" s="24" t="s">
        <v>147</v>
      </c>
      <c r="G21" s="20">
        <v>4</v>
      </c>
      <c r="H21" s="20">
        <v>7</v>
      </c>
      <c r="I21" s="20">
        <v>3</v>
      </c>
      <c r="J21" s="20">
        <f>Table1[[#This Row],[Probability
(1 to 10)]]*Table1[[#This Row],[Severity
(1 to 10)]]*Table1[[#This Row],[Detection
(1 to 10)]]</f>
        <v>84</v>
      </c>
      <c r="K21" s="21" t="s">
        <v>148</v>
      </c>
      <c r="L21" s="18"/>
    </row>
    <row r="22" spans="2:12" s="22" customFormat="1" ht="24.9" customHeight="1" x14ac:dyDescent="0.25">
      <c r="B22" s="16" t="s">
        <v>142</v>
      </c>
      <c r="C22" s="17" t="s">
        <v>92</v>
      </c>
      <c r="D22" s="18" t="s">
        <v>93</v>
      </c>
      <c r="E22" s="19" t="s">
        <v>111</v>
      </c>
      <c r="F22" s="24" t="s">
        <v>147</v>
      </c>
      <c r="G22" s="20">
        <v>3</v>
      </c>
      <c r="H22" s="20">
        <v>8</v>
      </c>
      <c r="I22" s="20">
        <v>4</v>
      </c>
      <c r="J22" s="20">
        <f>Table1[[#This Row],[Probability
(1 to 10)]]*Table1[[#This Row],[Severity
(1 to 10)]]*Table1[[#This Row],[Detection
(1 to 10)]]</f>
        <v>96</v>
      </c>
      <c r="K22" s="21" t="s">
        <v>148</v>
      </c>
      <c r="L22" s="18"/>
    </row>
    <row r="23" spans="2:12" s="22" customFormat="1" ht="24.9" customHeight="1" x14ac:dyDescent="0.25">
      <c r="B23" s="16" t="s">
        <v>143</v>
      </c>
      <c r="C23" s="17" t="s">
        <v>94</v>
      </c>
      <c r="D23" s="18" t="s">
        <v>95</v>
      </c>
      <c r="E23" s="19" t="s">
        <v>107</v>
      </c>
      <c r="F23" s="24" t="s">
        <v>147</v>
      </c>
      <c r="G23" s="20">
        <v>5</v>
      </c>
      <c r="H23" s="20">
        <v>7</v>
      </c>
      <c r="I23" s="20">
        <v>2</v>
      </c>
      <c r="J23" s="20">
        <f>Table1[[#This Row],[Probability
(1 to 10)]]*Table1[[#This Row],[Severity
(1 to 10)]]*Table1[[#This Row],[Detection
(1 to 10)]]</f>
        <v>70</v>
      </c>
      <c r="K23" s="21" t="s">
        <v>148</v>
      </c>
      <c r="L23" s="18"/>
    </row>
    <row r="24" spans="2:12" s="22" customFormat="1" ht="24.9" customHeight="1" x14ac:dyDescent="0.25">
      <c r="B24" s="20" t="s">
        <v>144</v>
      </c>
      <c r="C24" s="12" t="s">
        <v>96</v>
      </c>
      <c r="D24" s="22" t="s">
        <v>97</v>
      </c>
      <c r="E24" s="23" t="s">
        <v>106</v>
      </c>
      <c r="F24" s="24" t="s">
        <v>147</v>
      </c>
      <c r="G24" s="20">
        <v>4</v>
      </c>
      <c r="H24" s="20">
        <v>7</v>
      </c>
      <c r="I24" s="20">
        <v>3</v>
      </c>
      <c r="J24" s="20">
        <f>Table1[[#This Row],[Probability
(1 to 10)]]*Table1[[#This Row],[Severity
(1 to 10)]]*Table1[[#This Row],[Detection
(1 to 10)]]</f>
        <v>84</v>
      </c>
      <c r="K24" s="21" t="s">
        <v>58</v>
      </c>
      <c r="L24" s="23" t="s">
        <v>153</v>
      </c>
    </row>
    <row r="25" spans="2:12" s="22" customFormat="1" ht="39.6" x14ac:dyDescent="0.25">
      <c r="B25" s="21" t="s">
        <v>145</v>
      </c>
      <c r="C25" s="12" t="s">
        <v>98</v>
      </c>
      <c r="D25" s="22" t="s">
        <v>99</v>
      </c>
      <c r="E25" s="19" t="s">
        <v>154</v>
      </c>
      <c r="F25" s="24" t="s">
        <v>147</v>
      </c>
      <c r="G25" s="20">
        <v>5</v>
      </c>
      <c r="H25" s="20">
        <v>7</v>
      </c>
      <c r="I25" s="20">
        <v>2</v>
      </c>
      <c r="J25" s="20">
        <f>Table1[[#This Row],[Probability
(1 to 10)]]*Table1[[#This Row],[Severity
(1 to 10)]]*Table1[[#This Row],[Detection
(1 to 10)]]</f>
        <v>70</v>
      </c>
      <c r="K25" s="21" t="s">
        <v>148</v>
      </c>
      <c r="L25" s="23" t="s">
        <v>155</v>
      </c>
    </row>
    <row r="26" spans="2:12" ht="39.6" x14ac:dyDescent="0.25">
      <c r="B26" s="20" t="s">
        <v>159</v>
      </c>
      <c r="C26" s="30" t="s">
        <v>163</v>
      </c>
      <c r="D26" s="18" t="s">
        <v>164</v>
      </c>
      <c r="E26" s="18" t="s">
        <v>171</v>
      </c>
      <c r="F26" s="24" t="s">
        <v>175</v>
      </c>
      <c r="G26" s="20">
        <v>5</v>
      </c>
      <c r="H26" s="20">
        <v>5</v>
      </c>
      <c r="I26" s="20">
        <v>5</v>
      </c>
      <c r="J26" s="20">
        <f>Table1[[#This Row],[Probability
(1 to 10)]]*Table1[[#This Row],[Severity
(1 to 10)]]*Table1[[#This Row],[Detection
(1 to 10)]]</f>
        <v>125</v>
      </c>
      <c r="K26" s="21" t="s">
        <v>148</v>
      </c>
      <c r="L26" s="18"/>
    </row>
    <row r="27" spans="2:12" ht="26.4" x14ac:dyDescent="0.25">
      <c r="B27" s="20" t="s">
        <v>160</v>
      </c>
      <c r="C27" s="17" t="s">
        <v>165</v>
      </c>
      <c r="D27" s="18" t="s">
        <v>166</v>
      </c>
      <c r="E27" s="18" t="s">
        <v>172</v>
      </c>
      <c r="F27" s="24" t="s">
        <v>176</v>
      </c>
      <c r="G27" s="20">
        <v>5</v>
      </c>
      <c r="H27" s="20">
        <v>5</v>
      </c>
      <c r="I27" s="20">
        <v>5</v>
      </c>
      <c r="J27" s="20">
        <f>Table1[[#This Row],[Probability
(1 to 10)]]*Table1[[#This Row],[Severity
(1 to 10)]]*Table1[[#This Row],[Detection
(1 to 10)]]</f>
        <v>125</v>
      </c>
      <c r="K27" s="21" t="s">
        <v>148</v>
      </c>
      <c r="L27" s="18"/>
    </row>
    <row r="28" spans="2:12" ht="26.4" x14ac:dyDescent="0.25">
      <c r="B28" s="20" t="s">
        <v>161</v>
      </c>
      <c r="C28" s="17" t="s">
        <v>167</v>
      </c>
      <c r="D28" s="18" t="s">
        <v>168</v>
      </c>
      <c r="E28" s="18" t="s">
        <v>173</v>
      </c>
      <c r="F28" s="24" t="s">
        <v>147</v>
      </c>
      <c r="G28" s="20">
        <v>5</v>
      </c>
      <c r="H28" s="20">
        <v>5</v>
      </c>
      <c r="I28" s="20">
        <v>5</v>
      </c>
      <c r="J28" s="20">
        <f>Table1[[#This Row],[Probability
(1 to 10)]]*Table1[[#This Row],[Severity
(1 to 10)]]*Table1[[#This Row],[Detection
(1 to 10)]]</f>
        <v>125</v>
      </c>
      <c r="K28" s="21" t="s">
        <v>148</v>
      </c>
      <c r="L28" s="18"/>
    </row>
    <row r="29" spans="2:12" ht="26.4" x14ac:dyDescent="0.25">
      <c r="B29" s="20" t="s">
        <v>162</v>
      </c>
      <c r="C29" s="17" t="s">
        <v>169</v>
      </c>
      <c r="D29" s="18" t="s">
        <v>170</v>
      </c>
      <c r="E29" s="18" t="s">
        <v>174</v>
      </c>
      <c r="F29" s="24" t="s">
        <v>147</v>
      </c>
      <c r="G29" s="20">
        <v>3</v>
      </c>
      <c r="H29" s="20">
        <v>5</v>
      </c>
      <c r="I29" s="20">
        <v>5</v>
      </c>
      <c r="J29" s="20">
        <f>Table1[[#This Row],[Probability
(1 to 10)]]*Table1[[#This Row],[Severity
(1 to 10)]]*Table1[[#This Row],[Detection
(1 to 10)]]</f>
        <v>75</v>
      </c>
      <c r="K29" s="21" t="s">
        <v>58</v>
      </c>
      <c r="L29" s="18"/>
    </row>
    <row r="30" spans="2:12" ht="39.6" x14ac:dyDescent="0.25">
      <c r="B30" s="20" t="s">
        <v>177</v>
      </c>
      <c r="C30" s="17" t="s">
        <v>181</v>
      </c>
      <c r="D30" s="18" t="s">
        <v>182</v>
      </c>
      <c r="E30" s="18" t="s">
        <v>171</v>
      </c>
      <c r="F30" s="24" t="s">
        <v>175</v>
      </c>
      <c r="G30" s="20">
        <v>3</v>
      </c>
      <c r="H30" s="20">
        <v>5</v>
      </c>
      <c r="I30" s="20">
        <v>5</v>
      </c>
      <c r="J30" s="20">
        <f>Table1[[#This Row],[Probability
(1 to 10)]]*Table1[[#This Row],[Severity
(1 to 10)]]*Table1[[#This Row],[Detection
(1 to 10)]]</f>
        <v>75</v>
      </c>
      <c r="K30" s="21" t="s">
        <v>148</v>
      </c>
      <c r="L30" s="18"/>
    </row>
    <row r="31" spans="2:12" ht="26.4" x14ac:dyDescent="0.25">
      <c r="B31" s="20" t="s">
        <v>178</v>
      </c>
      <c r="C31" s="17" t="s">
        <v>183</v>
      </c>
      <c r="D31" s="18" t="s">
        <v>184</v>
      </c>
      <c r="E31" s="18" t="s">
        <v>189</v>
      </c>
      <c r="F31" s="24" t="s">
        <v>176</v>
      </c>
      <c r="G31" s="20">
        <v>3</v>
      </c>
      <c r="H31" s="20">
        <v>3</v>
      </c>
      <c r="I31" s="20">
        <v>5</v>
      </c>
      <c r="J31" s="20">
        <f>Table1[[#This Row],[Probability
(1 to 10)]]*Table1[[#This Row],[Severity
(1 to 10)]]*Table1[[#This Row],[Detection
(1 to 10)]]</f>
        <v>45</v>
      </c>
      <c r="K31" s="21" t="s">
        <v>148</v>
      </c>
      <c r="L31" s="18"/>
    </row>
    <row r="32" spans="2:12" ht="26.4" x14ac:dyDescent="0.25">
      <c r="B32" s="20" t="s">
        <v>179</v>
      </c>
      <c r="C32" s="17" t="s">
        <v>185</v>
      </c>
      <c r="D32" s="18" t="s">
        <v>186</v>
      </c>
      <c r="E32" s="19" t="s">
        <v>191</v>
      </c>
      <c r="F32" s="24" t="s">
        <v>147</v>
      </c>
      <c r="G32" s="20">
        <v>3</v>
      </c>
      <c r="H32" s="20">
        <v>1</v>
      </c>
      <c r="I32" s="20">
        <v>5</v>
      </c>
      <c r="J32" s="20">
        <f>Table1[[#This Row],[Probability
(1 to 10)]]*Table1[[#This Row],[Severity
(1 to 10)]]*Table1[[#This Row],[Detection
(1 to 10)]]</f>
        <v>15</v>
      </c>
      <c r="K32" s="21" t="s">
        <v>148</v>
      </c>
      <c r="L32" s="18"/>
    </row>
    <row r="33" spans="2:12" ht="26.4" x14ac:dyDescent="0.25">
      <c r="B33" s="20" t="s">
        <v>180</v>
      </c>
      <c r="C33" s="17" t="s">
        <v>187</v>
      </c>
      <c r="D33" s="18" t="s">
        <v>188</v>
      </c>
      <c r="E33" s="18" t="s">
        <v>190</v>
      </c>
      <c r="F33" s="24" t="s">
        <v>147</v>
      </c>
      <c r="G33" s="20">
        <v>3</v>
      </c>
      <c r="H33" s="20">
        <v>3</v>
      </c>
      <c r="I33" s="20">
        <v>3</v>
      </c>
      <c r="J33" s="20">
        <f>Table1[[#This Row],[Probability
(1 to 10)]]*Table1[[#This Row],[Severity
(1 to 10)]]*Table1[[#This Row],[Detection
(1 to 10)]]</f>
        <v>27</v>
      </c>
      <c r="K33" s="21" t="s">
        <v>58</v>
      </c>
      <c r="L33" s="18"/>
    </row>
    <row r="34" spans="2:12" x14ac:dyDescent="0.25">
      <c r="B34" s="16"/>
      <c r="C34" s="17"/>
      <c r="D34" s="18"/>
      <c r="E34" s="18"/>
      <c r="F34" s="16"/>
      <c r="G34" s="20"/>
      <c r="H34" s="20"/>
      <c r="I34" s="20"/>
      <c r="J34" s="20">
        <f>Table1[[#This Row],[Probability
(1 to 10)]]*Table1[[#This Row],[Severity
(1 to 10)]]*Table1[[#This Row],[Detection
(1 to 10)]]</f>
        <v>0</v>
      </c>
      <c r="K34" s="20"/>
      <c r="L34" s="18"/>
    </row>
  </sheetData>
  <mergeCells count="2">
    <mergeCell ref="B1:L1"/>
    <mergeCell ref="B2:L2"/>
  </mergeCells>
  <phoneticPr fontId="3" type="noConversion"/>
  <conditionalFormatting sqref="J4:J34">
    <cfRule type="cellIs" dxfId="3" priority="2" operator="greaterThan">
      <formula>300</formula>
    </cfRule>
    <cfRule type="cellIs" dxfId="2" priority="3" operator="between">
      <formula>101</formula>
      <formula>300</formula>
    </cfRule>
    <cfRule type="cellIs" dxfId="1" priority="4" operator="lessThan">
      <formula>101</formula>
    </cfRule>
  </conditionalFormatting>
  <conditionalFormatting sqref="K4:K34">
    <cfRule type="cellIs" dxfId="0" priority="1" operator="equal">
      <formula>"Open"</formula>
    </cfRule>
  </conditionalFormatting>
  <printOptions gridLines="1"/>
  <pageMargins left="0.64" right="0.49" top="1" bottom="1" header="0.5" footer="0.5"/>
  <pageSetup orientation="landscape" r:id="rId1"/>
  <headerFooter alignWithMargins="0"/>
  <legacyDrawing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Issues Quantification</vt:lpstr>
      <vt:lpstr>Issues</vt:lpstr>
    </vt:vector>
  </TitlesOfParts>
  <Manager/>
  <Company>Acxiom Corporation</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Acxiom Corporation</dc:creator>
  <cp:keywords/>
  <dc:description/>
  <cp:lastModifiedBy>Thomas DiGuido</cp:lastModifiedBy>
  <cp:revision/>
  <dcterms:created xsi:type="dcterms:W3CDTF">2007-01-18T19:20:46Z</dcterms:created>
  <dcterms:modified xsi:type="dcterms:W3CDTF">2026-05-14T15:11:16Z</dcterms:modified>
  <cp:category/>
  <cp:contentStatus/>
</cp:coreProperties>
</file>