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tdigu\Desktop\Insomniac\"/>
    </mc:Choice>
  </mc:AlternateContent>
  <xr:revisionPtr revIDLastSave="0" documentId="13_ncr:1_{CAD20B86-376F-407B-87E2-911B93CF25EC}" xr6:coauthVersionLast="47" xr6:coauthVersionMax="47" xr10:uidLastSave="{00000000-0000-0000-0000-000000000000}"/>
  <bookViews>
    <workbookView xWindow="-120" yWindow="-120" windowWidth="29040" windowHeight="15720" activeTab="3" xr2:uid="{E426D4A3-675A-4749-AD97-AF7CA7903CDF}"/>
  </bookViews>
  <sheets>
    <sheet name="Risks" sheetId="3" r:id="rId1"/>
    <sheet name="Risk Quantification Instruction" sheetId="7" r:id="rId2"/>
    <sheet name="Issues Log-Required" sheetId="1" r:id="rId3"/>
    <sheet name="Bug Tracker" sheetId="8" r:id="rId4"/>
  </sheets>
  <definedNames>
    <definedName name="_xlnm.Print_Titles" localSheetId="3">'Bug Tracker'!$3:$3</definedName>
    <definedName name="_xlnm.Print_Titles" localSheetId="2">'Issues Log-Required'!$3:$3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J6" i="3"/>
  <c r="J7" i="3"/>
  <c r="J8" i="3"/>
  <c r="J9" i="3"/>
  <c r="J10" i="3"/>
  <c r="J11" i="3"/>
  <c r="J12" i="3"/>
  <c r="J13" i="3"/>
  <c r="J14" i="3"/>
  <c r="J15" i="3"/>
  <c r="J16" i="3"/>
  <c r="J17" i="3"/>
  <c r="J18" i="3"/>
  <c r="J19" i="3"/>
  <c r="J20" i="3"/>
  <c r="J21" i="3"/>
  <c r="J22" i="3"/>
  <c r="J23" i="3"/>
  <c r="J24" i="3"/>
  <c r="J25" i="3"/>
  <c r="J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DiGuido</author>
  </authors>
  <commentList>
    <comment ref="F3" authorId="0" shapeId="0" xr:uid="{7FFC4786-E0DA-49B2-ABEE-E083C98B7F91}">
      <text>
        <r>
          <rPr>
            <b/>
            <sz val="9"/>
            <color indexed="81"/>
            <rFont val="Tahoma"/>
            <family val="2"/>
          </rPr>
          <t xml:space="preserve">J = Jessica
N = Nick
T = Tom
</t>
        </r>
      </text>
    </comment>
    <comment ref="G3" authorId="0" shapeId="0" xr:uid="{38C9A1C5-72B6-4ED0-8038-AC181F9263FA}">
      <text>
        <r>
          <rPr>
            <b/>
            <sz val="9"/>
            <color indexed="81"/>
            <rFont val="Tahoma"/>
            <family val="2"/>
          </rPr>
          <t>Probability (P):</t>
        </r>
        <r>
          <rPr>
            <sz val="9"/>
            <color indexed="81"/>
            <rFont val="Tahoma"/>
            <family val="2"/>
          </rPr>
          <t xml:space="preserve">
Likelyhood that the risk is to happen
(1 = very unlikely, 10 = very likely)</t>
        </r>
      </text>
    </comment>
    <comment ref="H3" authorId="0" shapeId="0" xr:uid="{63D4E263-5810-4D86-8C2D-F59939044148}">
      <text>
        <r>
          <rPr>
            <b/>
            <sz val="9"/>
            <color indexed="81"/>
            <rFont val="Tahoma"/>
            <family val="2"/>
          </rPr>
          <t xml:space="preserve">Severity (S):
</t>
        </r>
        <r>
          <rPr>
            <sz val="9"/>
            <color indexed="81"/>
            <rFont val="Tahoma"/>
            <family val="2"/>
          </rPr>
          <t>How bad the impact would be to the project.
(1 = minor, 10 = critical)</t>
        </r>
      </text>
    </comment>
    <comment ref="I3" authorId="0" shapeId="0" xr:uid="{168E7F97-7790-44FD-8CF5-5E65EB25ED4A}">
      <text>
        <r>
          <rPr>
            <b/>
            <sz val="9"/>
            <color indexed="81"/>
            <rFont val="Tahoma"/>
            <family val="2"/>
          </rPr>
          <t>Detection (D):</t>
        </r>
        <r>
          <rPr>
            <sz val="9"/>
            <color indexed="81"/>
            <rFont val="Tahoma"/>
            <family val="2"/>
          </rPr>
          <t xml:space="preserve">
How difficult it is to detect before it happens.
(1 = easy to detect, 10 = very hard to detect)
</t>
        </r>
      </text>
    </comment>
    <comment ref="J3" authorId="0" shapeId="0" xr:uid="{1D04E713-0EA4-4E6F-BC2C-CA6E98BA0692}">
      <text>
        <r>
          <rPr>
            <sz val="9"/>
            <color indexed="81"/>
            <rFont val="Tahoma"/>
            <family val="2"/>
          </rPr>
          <t xml:space="preserve">Risk Priority Number (RPN) = Probability × Severity × Detection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DiGuido</author>
  </authors>
  <commentList>
    <comment ref="D3" authorId="0" shapeId="0" xr:uid="{D1CC8FEC-C048-4D02-9A67-F9A1A3F36D74}">
      <text>
        <r>
          <rPr>
            <b/>
            <sz val="9"/>
            <color indexed="81"/>
            <rFont val="Tahoma"/>
            <family val="2"/>
          </rPr>
          <t xml:space="preserve">J = Jessica
N = Nick
T = Tom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DiGuido</author>
  </authors>
  <commentList>
    <comment ref="F3" authorId="0" shapeId="0" xr:uid="{A3698FAE-09D4-4724-B29F-7C1DA550EFF4}">
      <text>
        <r>
          <rPr>
            <b/>
            <sz val="9"/>
            <color indexed="81"/>
            <rFont val="Tahoma"/>
            <family val="2"/>
          </rPr>
          <t>J = Jessica
N = Nick
T = Tom</t>
        </r>
      </text>
    </comment>
  </commentList>
</comments>
</file>

<file path=xl/sharedStrings.xml><?xml version="1.0" encoding="utf-8"?>
<sst xmlns="http://schemas.openxmlformats.org/spreadsheetml/2006/main" count="241" uniqueCount="182">
  <si>
    <t>Lopsided Productions Issues Log</t>
  </si>
  <si>
    <t>Ref #</t>
  </si>
  <si>
    <t>Issue</t>
  </si>
  <si>
    <t>Owner</t>
  </si>
  <si>
    <t>Date Reported</t>
  </si>
  <si>
    <t>Due Date</t>
  </si>
  <si>
    <t>Date Resolved</t>
  </si>
  <si>
    <t>Status</t>
  </si>
  <si>
    <t>Comments</t>
  </si>
  <si>
    <t>Document Link</t>
  </si>
  <si>
    <t>IL001</t>
  </si>
  <si>
    <t>IL002</t>
  </si>
  <si>
    <t>Lopsided Productions Project Risks</t>
  </si>
  <si>
    <t>Risk Description</t>
  </si>
  <si>
    <t>Risk Response Plan</t>
  </si>
  <si>
    <t>RPN</t>
  </si>
  <si>
    <t>RL01</t>
  </si>
  <si>
    <t>RL02</t>
  </si>
  <si>
    <t>RL03</t>
  </si>
  <si>
    <t>RL04</t>
  </si>
  <si>
    <t>RL05</t>
  </si>
  <si>
    <t>Probability of Occurance Table</t>
  </si>
  <si>
    <t>Probability of Occurance</t>
  </si>
  <si>
    <t>Possible Occurrence Rates</t>
  </si>
  <si>
    <t>Rank</t>
  </si>
  <si>
    <t>Very High: occurrence is almost certain</t>
  </si>
  <si>
    <t>&gt;= 1 in 2</t>
  </si>
  <si>
    <t>1 in 3</t>
  </si>
  <si>
    <t>High: repeated occurences possible</t>
  </si>
  <si>
    <t>1 in 8</t>
  </si>
  <si>
    <t>1 in 20</t>
  </si>
  <si>
    <t>Moderate: occassional occurences</t>
  </si>
  <si>
    <t>1 in 80</t>
  </si>
  <si>
    <t>1 in 400</t>
  </si>
  <si>
    <t>1 in 2,000</t>
  </si>
  <si>
    <t>Low: relatively few occurences</t>
  </si>
  <si>
    <t>1 in 15,000</t>
  </si>
  <si>
    <t>1 in 150,000</t>
  </si>
  <si>
    <t>Remote: occurrence is unlikely</t>
  </si>
  <si>
    <t>&lt;= 1 in 1, 500,000</t>
  </si>
  <si>
    <t>Severity of the Effect Table</t>
  </si>
  <si>
    <t>Effect</t>
  </si>
  <si>
    <t>Criteria: Severity of Effect</t>
  </si>
  <si>
    <t>Hazardous - without warning</t>
  </si>
  <si>
    <t>Project severely impacted, possible cancellation, with no warning</t>
  </si>
  <si>
    <t>Hazardous - with warning</t>
  </si>
  <si>
    <t>Project severely impacted, possible cancellation, with warning</t>
  </si>
  <si>
    <t xml:space="preserve">Very High </t>
  </si>
  <si>
    <t>Major impact on project schedule, budget, or performance; may cause severe delays, overruns, or degradation of performance</t>
  </si>
  <si>
    <t xml:space="preserve">High </t>
  </si>
  <si>
    <t>Project schedule, budget, or performance impacted significantly; job can be completed, but customer will be dissatisfied</t>
  </si>
  <si>
    <t xml:space="preserve">Moderate </t>
  </si>
  <si>
    <t>Project schedule, budget, or performance impacted some; customer will be dissatisfied</t>
  </si>
  <si>
    <t xml:space="preserve">Low </t>
  </si>
  <si>
    <t>Project schedule, budget, or performance impacted slightly; customer will be mildly dissatisfied</t>
  </si>
  <si>
    <t>Very Low</t>
  </si>
  <si>
    <t>Some impact to project; customer will be aware of impact</t>
  </si>
  <si>
    <t>Minor</t>
  </si>
  <si>
    <t>Small impact to project; average customer will be aware of impact</t>
  </si>
  <si>
    <t>Very Minor</t>
  </si>
  <si>
    <t>Impact so small that it would be noticed only by a very discriminating customer</t>
  </si>
  <si>
    <t>No effect</t>
  </si>
  <si>
    <t>Detection Capability</t>
  </si>
  <si>
    <t>Detection</t>
  </si>
  <si>
    <t>Absolute Uncertainty</t>
  </si>
  <si>
    <t>Very Remote</t>
  </si>
  <si>
    <t xml:space="preserve">Remote </t>
  </si>
  <si>
    <t>Moderate</t>
  </si>
  <si>
    <t>Moderately High</t>
  </si>
  <si>
    <t>High</t>
  </si>
  <si>
    <t>Very High</t>
  </si>
  <si>
    <t>Almost Certain</t>
  </si>
  <si>
    <t>Risk Name</t>
  </si>
  <si>
    <t>Core Gameplay Logic Failure</t>
  </si>
  <si>
    <t>Sleep meter and threat logic fail to integrate</t>
  </si>
  <si>
    <t>Open</t>
  </si>
  <si>
    <t>Threat Timing Issues</t>
  </si>
  <si>
    <t>Response window inconsistent</t>
  </si>
  <si>
    <t>Game State Errors</t>
  </si>
  <si>
    <t>Incorrect state transitions</t>
  </si>
  <si>
    <t>Integration Failure</t>
  </si>
  <si>
    <t>Subsystems fail to sync</t>
  </si>
  <si>
    <t>Scope Creep</t>
  </si>
  <si>
    <t>Features exceed scope</t>
  </si>
  <si>
    <t>RL06</t>
  </si>
  <si>
    <t>Time Constraint</t>
  </si>
  <si>
    <t>Insufficient time</t>
  </si>
  <si>
    <t>RL07</t>
  </si>
  <si>
    <t>Skill Gaps</t>
  </si>
  <si>
    <t>Limited GameMaker experience</t>
  </si>
  <si>
    <t>RL08</t>
  </si>
  <si>
    <t>UI Confusion</t>
  </si>
  <si>
    <t>Players don’t understand UI</t>
  </si>
  <si>
    <t>RL09</t>
  </si>
  <si>
    <t>Game Balance</t>
  </si>
  <si>
    <t>Game too easy/hard</t>
  </si>
  <si>
    <t>RL10</t>
  </si>
  <si>
    <t>Late Bugs</t>
  </si>
  <si>
    <t>Many defects late</t>
  </si>
  <si>
    <t>RL11</t>
  </si>
  <si>
    <t>Data Integrity Issues</t>
  </si>
  <si>
    <t>Invalid values or states</t>
  </si>
  <si>
    <t>RL12</t>
  </si>
  <si>
    <t>Event Handling Conflicts</t>
  </si>
  <si>
    <t>Timers/input conflict</t>
  </si>
  <si>
    <t>RL13</t>
  </si>
  <si>
    <t>Environment Failure</t>
  </si>
  <si>
    <t>Objects don’t affect threats</t>
  </si>
  <si>
    <t>RL14</t>
  </si>
  <si>
    <t>Performance Issues</t>
  </si>
  <si>
    <t>Low FPS or lag</t>
  </si>
  <si>
    <t>RL15</t>
  </si>
  <si>
    <t>Audio Issues</t>
  </si>
  <si>
    <t>Audio not synced</t>
  </si>
  <si>
    <t>RL16</t>
  </si>
  <si>
    <t>Asset Delay</t>
  </si>
  <si>
    <t>RL17</t>
  </si>
  <si>
    <t>Data Loss</t>
  </si>
  <si>
    <t>Files corrupted/lost</t>
  </si>
  <si>
    <t>RL18</t>
  </si>
  <si>
    <t>Communication Breakdown</t>
  </si>
  <si>
    <t>Team miscommunication</t>
  </si>
  <si>
    <t>RL19</t>
  </si>
  <si>
    <t>Requirement Misunderstanding</t>
  </si>
  <si>
    <t>Incorrect implementation</t>
  </si>
  <si>
    <t>RL20</t>
  </si>
  <si>
    <t>Incomplete Features</t>
  </si>
  <si>
    <t>Features not finished</t>
  </si>
  <si>
    <t>RL21</t>
  </si>
  <si>
    <t>Traceability Gaps</t>
  </si>
  <si>
    <t>Requirements not mapped</t>
  </si>
  <si>
    <t>RL22</t>
  </si>
  <si>
    <t>Architecture Deviation</t>
  </si>
  <si>
    <t>Code deviates from SDD</t>
  </si>
  <si>
    <t>Probability
(1 to 10)</t>
  </si>
  <si>
    <t>Severity
(1 to 10)</t>
  </si>
  <si>
    <t>Detection
(1 to 10)</t>
  </si>
  <si>
    <t>Team to use tutorials and allocate sufficient time to overcome this risk.</t>
  </si>
  <si>
    <t>Coding, documentation, testing etc., work will be balanced among team. Regular updates on assigned and agreed upon will be provided and will be rebalanced if necessary.</t>
  </si>
  <si>
    <t>Use change control process for any scope creep. It will be determined whether the item must be included in this release. If so, a CR (Change Request) will be completed and then added to the release. If the item does not need to be in the current release, the item will be documented for inclusion in a future release. Scope creep items will be tracked on the Decision Log.</t>
  </si>
  <si>
    <t>Maintain RTM (Requirements Tracking Matrix)</t>
  </si>
  <si>
    <t>Focus on MVP (Minimum Viable Product)</t>
  </si>
  <si>
    <t>Design will be regularly reviewed and any deviations will be documented as a risk. Deviations will also be tracked on the Decision Log and a Crused if needed.</t>
  </si>
  <si>
    <t>Add instructions at the start screen for the user to learn the game rules.</t>
  </si>
  <si>
    <t>Tune parameters (Time, speed, etc.) to ensure that the game is progressive in level of difficulty.</t>
  </si>
  <si>
    <t xml:space="preserve">Continuous testing will be employed and start at the earliest possible time. Features will be evaluated and tested early in the process to avoid a bottleneck once the coding is complete. </t>
  </si>
  <si>
    <t>Review SRS on a regulary basis to ensure the build is in alignment.</t>
  </si>
  <si>
    <t>Missing graphics/audio/sound effects</t>
  </si>
  <si>
    <t>Use placeholders, assign to individuals, and use due dates to mitigate any impact to coding.</t>
  </si>
  <si>
    <t>Test integration early in coding and allow corrections as coding continues. Retest in the next round of testing.</t>
  </si>
  <si>
    <t>Test centralize state logic early in coding and allow corrections as coding continues. Retest in the next round of testing.</t>
  </si>
  <si>
    <t>Test validate timers early in coding and allow corrections as coding continues. Retest in the next round of testing.</t>
  </si>
  <si>
    <t>Test subsystems early in coding and allow corrections as coding continues. Retest in the next round of testing.</t>
  </si>
  <si>
    <t>Validate rules throughout the coding process.</t>
  </si>
  <si>
    <t>Test performance early in coding and allow corrections as coding continues. Retest in the next round of testing.</t>
  </si>
  <si>
    <t>Test audio/sound effects early in coding and allow corrections as coding continues. Retest in the next round of testing.</t>
  </si>
  <si>
    <t>Use GitHub backups: Team will use GitHub (git pull, git add ., git commit, and git push, etc.) when working on the coding, testing, etc. Any updates are to be pushed to GitHub at the end of the session.</t>
  </si>
  <si>
    <t xml:space="preserve">Scheduled weekly meetings, Discord, and special coding meetings will be used by each person to keep the team aligned on the progress. </t>
  </si>
  <si>
    <t>This risk will be reviewed during the coding and testing process. Results will be documented, and corrections will be added to the coding tasks.</t>
  </si>
  <si>
    <t>Structured event logic will be developed and reviewed during the coding process. Results will be documente,d and corrections will be added to the coding tasks.</t>
  </si>
  <si>
    <t>Last Update: 4/16/2026</t>
  </si>
  <si>
    <t>J,N,T</t>
  </si>
  <si>
    <t>Lopsided Productions Bug Tracker</t>
  </si>
  <si>
    <t>Last Update:  02/05/2026</t>
  </si>
  <si>
    <t>Bug Name</t>
  </si>
  <si>
    <t>Bug Summary</t>
  </si>
  <si>
    <t>Priotity
(High, Med, Low)</t>
  </si>
  <si>
    <t>Reported by</t>
  </si>
  <si>
    <t>Assigned to</t>
  </si>
  <si>
    <t>Date Due</t>
  </si>
  <si>
    <t>Status
(Fixed, Broken, In-Progress)</t>
  </si>
  <si>
    <t>BT001</t>
  </si>
  <si>
    <t>Start Screen Stretches</t>
  </si>
  <si>
    <t>After start screen, the room stretches. Rendering needs adjustments</t>
  </si>
  <si>
    <t>Med</t>
  </si>
  <si>
    <t>N</t>
  </si>
  <si>
    <t>J</t>
  </si>
  <si>
    <t>In-Progress</t>
  </si>
  <si>
    <t>BT002</t>
  </si>
  <si>
    <t>Sleep Button</t>
  </si>
  <si>
    <t>Click navifgation is off. Change events to Left-down.</t>
  </si>
  <si>
    <t>J,N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</si>
</sst>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0"/>
      <name val="Arial"/>
      <family val="2"/>
    </font>
    <font>
      <b/>
      <sz val="12"/>
      <name val="Arial"/>
      <family val="2"/>
    </font>
    <font>
      <sz val="8"/>
      <name val="Arial"/>
      <family val="2"/>
    </font>
    <font>
      <sz val="10"/>
      <name val="Arial"/>
      <family val="2"/>
    </font>
    <font>
      <b/>
      <sz val="12"/>
      <name val="Times New Roman"/>
      <family val="1"/>
    </font>
    <font>
      <u/>
      <sz val="10"/>
      <color indexed="12"/>
      <name val="Arial"/>
      <family val="2"/>
    </font>
    <font>
      <sz val="12"/>
      <name val="Arial"/>
      <family val="2"/>
    </font>
    <font>
      <sz val="8"/>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0" fontId="4" fillId="0" borderId="0"/>
  </cellStyleXfs>
  <cellXfs count="60">
    <xf numFmtId="0" fontId="0" fillId="0" borderId="0" xfId="0"/>
    <xf numFmtId="0" fontId="0" fillId="0" borderId="1" xfId="0" applyBorder="1" applyAlignment="1">
      <alignment horizontal="center"/>
    </xf>
    <xf numFmtId="0" fontId="0" fillId="0" borderId="0" xfId="0"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1" xfId="0" applyBorder="1"/>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0" xfId="0" applyAlignment="1">
      <alignment vertical="top"/>
    </xf>
    <xf numFmtId="0" fontId="0" fillId="0" borderId="1" xfId="0" applyBorder="1" applyAlignment="1">
      <alignment horizontal="left" vertical="center"/>
    </xf>
    <xf numFmtId="0" fontId="0" fillId="0" borderId="1" xfId="0" applyBorder="1" applyAlignment="1">
      <alignment horizontal="left" wrapText="1"/>
    </xf>
    <xf numFmtId="0" fontId="0" fillId="0" borderId="0" xfId="0" applyAlignment="1">
      <alignment horizontal="left" vertical="center"/>
    </xf>
    <xf numFmtId="0" fontId="1" fillId="0" borderId="0" xfId="0" applyFont="1" applyAlignment="1">
      <alignment horizontal="center" vertical="center" wrapText="1"/>
    </xf>
    <xf numFmtId="0" fontId="5" fillId="0" borderId="0" xfId="0" applyFont="1" applyAlignment="1">
      <alignment vertical="top"/>
    </xf>
    <xf numFmtId="0" fontId="7" fillId="0" borderId="0" xfId="0" applyFont="1"/>
    <xf numFmtId="0" fontId="4" fillId="0" borderId="0" xfId="0" applyFont="1"/>
    <xf numFmtId="0" fontId="8" fillId="0" borderId="0" xfId="0" applyFont="1"/>
    <xf numFmtId="0" fontId="1" fillId="0" borderId="0" xfId="0" applyFont="1" applyAlignment="1">
      <alignment vertical="center" wrapText="1"/>
    </xf>
    <xf numFmtId="0" fontId="4" fillId="0" borderId="0" xfId="0" applyFont="1" applyAlignment="1">
      <alignment vertical="top" wrapText="1"/>
    </xf>
    <xf numFmtId="0" fontId="4" fillId="0" borderId="0" xfId="0" applyFont="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4" fillId="0" borderId="0" xfId="0" applyFont="1" applyAlignment="1">
      <alignment vertical="center"/>
    </xf>
    <xf numFmtId="0" fontId="4" fillId="0" borderId="0" xfId="0" applyFont="1" applyAlignment="1">
      <alignment horizontal="center"/>
    </xf>
    <xf numFmtId="0" fontId="4" fillId="0" borderId="0" xfId="0" applyFont="1" applyAlignment="1">
      <alignment horizontal="center" wrapText="1"/>
    </xf>
    <xf numFmtId="14" fontId="4"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vertical="top" wrapText="1"/>
    </xf>
    <xf numFmtId="0" fontId="6" fillId="0" borderId="0" xfId="1" applyFill="1" applyBorder="1" applyAlignment="1" applyProtection="1">
      <alignment vertical="top" wrapText="1"/>
    </xf>
    <xf numFmtId="0" fontId="4"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center"/>
    </xf>
    <xf numFmtId="0" fontId="5" fillId="3" borderId="5" xfId="0" applyFont="1" applyFill="1" applyBorder="1" applyAlignment="1">
      <alignment horizontal="center" vertical="top"/>
    </xf>
    <xf numFmtId="0" fontId="5" fillId="3" borderId="6" xfId="0" applyFont="1" applyFill="1" applyBorder="1" applyAlignment="1">
      <alignment horizontal="center" vertical="top"/>
    </xf>
    <xf numFmtId="0" fontId="5" fillId="3" borderId="7" xfId="0" applyFont="1" applyFill="1" applyBorder="1" applyAlignment="1">
      <alignment horizontal="center" vertical="top"/>
    </xf>
    <xf numFmtId="0" fontId="2" fillId="0" borderId="0" xfId="2" applyFont="1" applyAlignment="1">
      <alignment horizontal="center"/>
    </xf>
    <xf numFmtId="0" fontId="7" fillId="0" borderId="0" xfId="2" applyFont="1"/>
    <xf numFmtId="0" fontId="4" fillId="0" borderId="0" xfId="2" applyAlignment="1">
      <alignment horizontal="center" vertical="center"/>
    </xf>
    <xf numFmtId="0" fontId="4" fillId="0" borderId="0" xfId="2" applyAlignment="1">
      <alignment vertical="top"/>
    </xf>
    <xf numFmtId="0" fontId="4" fillId="0" borderId="0" xfId="2" applyAlignment="1">
      <alignment horizontal="center" vertical="center" wrapText="1"/>
    </xf>
    <xf numFmtId="0" fontId="1" fillId="0" borderId="0" xfId="2" applyFont="1" applyAlignment="1">
      <alignment horizontal="center" vertical="top" wrapText="1"/>
    </xf>
    <xf numFmtId="0" fontId="4" fillId="0" borderId="0" xfId="2" applyAlignment="1">
      <alignment horizontal="center" vertical="center"/>
    </xf>
    <xf numFmtId="0" fontId="4" fillId="0" borderId="0" xfId="2" applyAlignment="1">
      <alignment vertical="center" wrapText="1"/>
    </xf>
    <xf numFmtId="14" fontId="4" fillId="0" borderId="0" xfId="2" applyNumberFormat="1" applyAlignment="1">
      <alignment horizontal="center" vertical="center"/>
    </xf>
    <xf numFmtId="0" fontId="4" fillId="0" borderId="0" xfId="2"/>
    <xf numFmtId="0" fontId="3" fillId="0" borderId="0" xfId="2" applyFont="1" applyAlignment="1">
      <alignment horizontal="center" vertical="center"/>
    </xf>
    <xf numFmtId="0" fontId="3" fillId="0" borderId="0" xfId="2" applyFont="1" applyAlignment="1">
      <alignment vertical="center" wrapText="1"/>
    </xf>
    <xf numFmtId="0" fontId="3" fillId="0" borderId="0" xfId="2" applyFont="1" applyAlignment="1">
      <alignment horizontal="center" vertical="center" wrapText="1"/>
    </xf>
    <xf numFmtId="0" fontId="3" fillId="0" borderId="0" xfId="2" applyFont="1"/>
    <xf numFmtId="0" fontId="4" fillId="0" borderId="0" xfId="2" applyAlignment="1">
      <alignment horizontal="center"/>
    </xf>
    <xf numFmtId="0" fontId="4" fillId="0" borderId="0" xfId="2" applyAlignment="1">
      <alignment vertical="top" wrapText="1"/>
    </xf>
  </cellXfs>
  <cellStyles count="3">
    <cellStyle name="Hyperlink" xfId="1" builtinId="8"/>
    <cellStyle name="Normal" xfId="0" builtinId="0"/>
    <cellStyle name="Normal 2" xfId="2" xr:uid="{8A8C821D-C0A4-4E8C-8E69-877CD3B7D532}"/>
  </cellStyles>
  <dxfs count="40">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dxf>
    <dxf>
      <fill>
        <patternFill>
          <fgColor rgb="FF00B050"/>
          <bgColor rgb="FF92D050"/>
        </patternFill>
      </fill>
    </dxf>
    <dxf>
      <fill>
        <patternFill>
          <bgColor rgb="FFFFFF00"/>
        </patternFill>
      </fill>
    </dxf>
    <dxf>
      <fill>
        <patternFill>
          <bgColor rgb="FFFF0000"/>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1"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E0ABB-2CB7-4F30-B614-D9D3F47E65F2}" name="Table1" displayName="Table1" ref="B3:L25" totalsRowShown="0" headerRowDxfId="39" dataDxfId="38">
  <autoFilter ref="B3:L25" xr:uid="{F71E0ABB-2CB7-4F30-B614-D9D3F47E65F2}"/>
  <tableColumns count="11">
    <tableColumn id="1" xr3:uid="{736B15C0-0F35-48DB-84DE-CEEBE506D676}" name="Ref #" dataDxfId="37"/>
    <tableColumn id="2" xr3:uid="{B3FFA252-2A18-4F52-93A6-87934BBA95B9}" name="Risk Name" dataDxfId="36"/>
    <tableColumn id="3" xr3:uid="{E0DD0BBC-368D-42CC-AF91-AB2733085A76}" name="Risk Description" dataDxfId="35"/>
    <tableColumn id="4" xr3:uid="{80E5263E-10D7-43F9-9EF0-114304CB78A4}" name="Risk Response Plan" dataDxfId="34"/>
    <tableColumn id="5" xr3:uid="{D6E73ED4-DD96-44AA-B965-D555E4A0C3A1}" name="Owner" dataDxfId="33"/>
    <tableColumn id="6" xr3:uid="{29AEA3B4-518D-4AE6-AD8C-6AAF74220C48}" name="Probability_x000a_(1 to 10)" dataDxfId="32"/>
    <tableColumn id="7" xr3:uid="{CEDADF23-4B40-4C9D-BCD7-700102FAD97A}" name="Severity_x000a_(1 to 10)" dataDxfId="31"/>
    <tableColumn id="8" xr3:uid="{B2921CAE-A3B5-4A34-B3AA-FC083952FC9C}" name="Detection_x000a_(1 to 10)" dataDxfId="30"/>
    <tableColumn id="9" xr3:uid="{B04E42AE-7EAB-4978-A905-E0027E6B4FE2}" name="RPN" dataDxfId="29"/>
    <tableColumn id="10" xr3:uid="{C8C3B578-51C9-4026-993C-2C9CE708190B}" name="Status" dataDxfId="28"/>
    <tableColumn id="11" xr3:uid="{E106A908-5D4E-4D05-AD4E-3176C7CB82CB}" name="Comments" dataDxfId="27"/>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AF02DD-FC39-49C0-A216-15BB919FFAD5}" name="Table3" displayName="Table3" ref="B3:J33" totalsRowShown="0" headerRowDxfId="26" dataDxfId="25">
  <autoFilter ref="B3:J33" xr:uid="{3CAF02DD-FC39-49C0-A216-15BB919FFAD5}"/>
  <tableColumns count="9">
    <tableColumn id="1" xr3:uid="{01A5AB93-EACF-423C-A892-8152F12E0C58}" name="Ref #" dataDxfId="24"/>
    <tableColumn id="2" xr3:uid="{463A199E-F90D-47D3-B981-56C66E690FAB}" name="Issue" dataDxfId="23"/>
    <tableColumn id="3" xr3:uid="{B9C7834A-BAE0-4294-B124-EE37A0CF8EDA}" name="Owner" dataDxfId="22"/>
    <tableColumn id="4" xr3:uid="{67553E0F-E2E3-408A-AD5B-32F4E0D78814}" name="Date Reported" dataDxfId="21"/>
    <tableColumn id="5" xr3:uid="{05BD9C24-AA31-4CDF-9095-D2469DCBC911}" name="Due Date" dataDxfId="20"/>
    <tableColumn id="6" xr3:uid="{CA385301-A356-4D83-A89A-B2A703722424}" name="Date Resolved" dataDxfId="19"/>
    <tableColumn id="7" xr3:uid="{35975E18-3E12-4D66-AABB-325EE72065E5}" name="Status" dataDxfId="18"/>
    <tableColumn id="8" xr3:uid="{663A80AC-A432-4346-A3D8-8ACCA140C3DB}" name="Comments" dataDxfId="17"/>
    <tableColumn id="9" xr3:uid="{85FEE2AC-81AC-4356-B1C6-FDB89A573CCB}" name="Document Link" dataDxfId="16"/>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946D23-8231-4BCF-8347-3A209AED2EC7}" name="Table2" displayName="Table2" ref="B3:L32" totalsRowShown="0" headerRowDxfId="12" dataDxfId="11">
  <autoFilter ref="B3:L32" xr:uid="{8502A7A6-495E-4A26-BA41-549614222EB5}"/>
  <tableColumns count="11">
    <tableColumn id="1" xr3:uid="{D1E70A13-85E0-4709-AC6A-FEE7A45EF7C2}" name="Ref #" dataDxfId="10"/>
    <tableColumn id="2" xr3:uid="{9496C66F-F66B-43DC-BACC-1E500FB1A09E}" name="Bug Name" dataDxfId="9"/>
    <tableColumn id="3" xr3:uid="{FE0369B4-2E9E-468D-8D2E-817A2CAB6B10}" name="Bug Summary" dataDxfId="8"/>
    <tableColumn id="4" xr3:uid="{CDBEA729-E814-4776-A49B-8F26574B171C}" name="Priotity_x000a_(High, Med, Low)" dataDxfId="7"/>
    <tableColumn id="5" xr3:uid="{1B218A54-81A6-436F-9CAF-A7B1E3B1A24E}" name="Reported by" dataDxfId="6"/>
    <tableColumn id="6" xr3:uid="{4E4037AC-072E-4C7C-85F7-6AC1D15BE4A4}" name="Date Reported" dataDxfId="5"/>
    <tableColumn id="7" xr3:uid="{0A977F55-7674-4AA4-A2A9-6134163781DC}" name="Assigned to" dataDxfId="4"/>
    <tableColumn id="8" xr3:uid="{15AA72AB-771C-4372-AD42-EBA4179C370D}" name="Date Due" dataDxfId="3"/>
    <tableColumn id="9" xr3:uid="{D2335B21-9980-4CF8-BDE7-350E325D2612}" name="Date Resolved" dataDxfId="2"/>
    <tableColumn id="10" xr3:uid="{351CA830-4702-45BC-BFE7-C075F286B934}" name="Status_x000a_(Fixed, Broken, In-Progress)" dataDxfId="1"/>
    <tableColumn id="11" xr3:uid="{6FBB8FE7-517A-4E14-B384-5A4841C7965D}" name="Comment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2FE7-B711-4559-A98F-9E64C387F534}">
  <sheetPr>
    <tabColor rgb="FFFFC000"/>
  </sheetPr>
  <dimension ref="B1:L26"/>
  <sheetViews>
    <sheetView workbookViewId="0">
      <selection activeCell="E5" sqref="E5"/>
    </sheetView>
  </sheetViews>
  <sheetFormatPr defaultRowHeight="12.75" x14ac:dyDescent="0.2"/>
  <cols>
    <col min="3" max="3" width="27.140625" customWidth="1"/>
    <col min="4" max="4" width="36.85546875" customWidth="1"/>
    <col min="5" max="5" width="60.42578125" customWidth="1"/>
    <col min="6" max="6" width="12.28515625" customWidth="1"/>
    <col min="7" max="9" width="14.7109375" style="2" customWidth="1"/>
    <col min="10" max="10" width="23.140625" style="2" customWidth="1"/>
    <col min="11" max="11" width="13.5703125" style="2" customWidth="1"/>
    <col min="12" max="12" width="29.5703125" customWidth="1"/>
  </cols>
  <sheetData>
    <row r="1" spans="2:12" ht="19.5" customHeight="1" x14ac:dyDescent="0.2">
      <c r="B1" s="37" t="s">
        <v>12</v>
      </c>
      <c r="C1" s="37"/>
      <c r="D1" s="37"/>
      <c r="E1" s="37"/>
      <c r="F1" s="37"/>
      <c r="G1" s="37"/>
      <c r="H1" s="37"/>
      <c r="I1" s="37"/>
      <c r="J1" s="37"/>
      <c r="K1" s="37"/>
      <c r="L1" s="37"/>
    </row>
    <row r="2" spans="2:12" ht="19.5" customHeight="1" x14ac:dyDescent="0.2">
      <c r="B2" s="38" t="s">
        <v>160</v>
      </c>
      <c r="C2" s="38"/>
      <c r="D2" s="38"/>
      <c r="E2" s="38"/>
      <c r="F2" s="38"/>
      <c r="G2" s="38"/>
      <c r="H2" s="38"/>
      <c r="I2" s="38"/>
      <c r="J2" s="38"/>
      <c r="K2" s="38"/>
      <c r="L2" s="38"/>
    </row>
    <row r="3" spans="2:12" s="4" customFormat="1" ht="27" customHeight="1" x14ac:dyDescent="0.2">
      <c r="B3" s="19" t="s">
        <v>1</v>
      </c>
      <c r="C3" s="19" t="s">
        <v>72</v>
      </c>
      <c r="D3" s="19" t="s">
        <v>13</v>
      </c>
      <c r="E3" s="19" t="s">
        <v>14</v>
      </c>
      <c r="F3" s="14" t="s">
        <v>3</v>
      </c>
      <c r="G3" s="14" t="s">
        <v>134</v>
      </c>
      <c r="H3" s="14" t="s">
        <v>135</v>
      </c>
      <c r="I3" s="14" t="s">
        <v>136</v>
      </c>
      <c r="J3" s="14" t="s">
        <v>15</v>
      </c>
      <c r="K3" s="14" t="s">
        <v>7</v>
      </c>
      <c r="L3" s="19" t="s">
        <v>8</v>
      </c>
    </row>
    <row r="4" spans="2:12" s="28" customFormat="1" ht="25.5" x14ac:dyDescent="0.2">
      <c r="B4" s="22" t="s">
        <v>16</v>
      </c>
      <c r="C4" s="23" t="s">
        <v>73</v>
      </c>
      <c r="D4" s="24" t="s">
        <v>74</v>
      </c>
      <c r="E4" s="25" t="s">
        <v>152</v>
      </c>
      <c r="F4" s="36" t="s">
        <v>161</v>
      </c>
      <c r="G4" s="26">
        <v>8</v>
      </c>
      <c r="H4" s="26">
        <v>9</v>
      </c>
      <c r="I4" s="26">
        <v>1</v>
      </c>
      <c r="J4" s="26">
        <f>Table1[[#This Row],[Probability
(1 to 10)]]*Table1[[#This Row],[Severity
(1 to 10)]]*Table1[[#This Row],[Detection
(1 to 10)]]</f>
        <v>72</v>
      </c>
      <c r="K4" s="27" t="s">
        <v>75</v>
      </c>
      <c r="L4" s="24"/>
    </row>
    <row r="5" spans="2:12" s="28" customFormat="1" ht="25.5" x14ac:dyDescent="0.2">
      <c r="B5" s="22" t="s">
        <v>17</v>
      </c>
      <c r="C5" s="23" t="s">
        <v>76</v>
      </c>
      <c r="D5" s="24" t="s">
        <v>77</v>
      </c>
      <c r="E5" s="25" t="s">
        <v>151</v>
      </c>
      <c r="F5" s="36" t="s">
        <v>161</v>
      </c>
      <c r="G5" s="26">
        <v>7</v>
      </c>
      <c r="H5" s="26">
        <v>8</v>
      </c>
      <c r="I5" s="26">
        <v>1</v>
      </c>
      <c r="J5" s="26">
        <f>Table1[[#This Row],[Probability
(1 to 10)]]*Table1[[#This Row],[Severity
(1 to 10)]]*Table1[[#This Row],[Detection
(1 to 10)]]</f>
        <v>56</v>
      </c>
      <c r="K5" s="27" t="s">
        <v>75</v>
      </c>
      <c r="L5" s="24"/>
    </row>
    <row r="6" spans="2:12" s="28" customFormat="1" ht="25.5" x14ac:dyDescent="0.2">
      <c r="B6" s="22" t="s">
        <v>18</v>
      </c>
      <c r="C6" s="23" t="s">
        <v>78</v>
      </c>
      <c r="D6" s="24" t="s">
        <v>79</v>
      </c>
      <c r="E6" s="25" t="s">
        <v>150</v>
      </c>
      <c r="F6" s="36" t="s">
        <v>161</v>
      </c>
      <c r="G6" s="26">
        <v>6</v>
      </c>
      <c r="H6" s="26">
        <v>9</v>
      </c>
      <c r="I6" s="26">
        <v>1</v>
      </c>
      <c r="J6" s="26">
        <f>Table1[[#This Row],[Probability
(1 to 10)]]*Table1[[#This Row],[Severity
(1 to 10)]]*Table1[[#This Row],[Detection
(1 to 10)]]</f>
        <v>54</v>
      </c>
      <c r="K6" s="27" t="s">
        <v>75</v>
      </c>
      <c r="L6" s="24"/>
    </row>
    <row r="7" spans="2:12" s="28" customFormat="1" ht="25.5" x14ac:dyDescent="0.2">
      <c r="B7" s="22" t="s">
        <v>19</v>
      </c>
      <c r="C7" s="23" t="s">
        <v>80</v>
      </c>
      <c r="D7" s="24" t="s">
        <v>81</v>
      </c>
      <c r="E7" s="25" t="s">
        <v>149</v>
      </c>
      <c r="F7" s="36" t="s">
        <v>161</v>
      </c>
      <c r="G7" s="26">
        <v>7</v>
      </c>
      <c r="H7" s="26">
        <v>9</v>
      </c>
      <c r="I7" s="26">
        <v>1</v>
      </c>
      <c r="J7" s="26">
        <f>Table1[[#This Row],[Probability
(1 to 10)]]*Table1[[#This Row],[Severity
(1 to 10)]]*Table1[[#This Row],[Detection
(1 to 10)]]</f>
        <v>63</v>
      </c>
      <c r="K7" s="27" t="s">
        <v>75</v>
      </c>
      <c r="L7" s="24"/>
    </row>
    <row r="8" spans="2:12" s="28" customFormat="1" ht="76.5" x14ac:dyDescent="0.2">
      <c r="B8" s="22" t="s">
        <v>20</v>
      </c>
      <c r="C8" s="23" t="s">
        <v>82</v>
      </c>
      <c r="D8" s="24" t="s">
        <v>83</v>
      </c>
      <c r="E8" s="25" t="s">
        <v>139</v>
      </c>
      <c r="F8" s="36" t="s">
        <v>161</v>
      </c>
      <c r="G8" s="26">
        <v>6</v>
      </c>
      <c r="H8" s="26">
        <v>7</v>
      </c>
      <c r="I8" s="26">
        <v>3</v>
      </c>
      <c r="J8" s="26">
        <f>Table1[[#This Row],[Probability
(1 to 10)]]*Table1[[#This Row],[Severity
(1 to 10)]]*Table1[[#This Row],[Detection
(1 to 10)]]</f>
        <v>126</v>
      </c>
      <c r="K8" s="27" t="s">
        <v>75</v>
      </c>
      <c r="L8" s="24"/>
    </row>
    <row r="9" spans="2:12" s="28" customFormat="1" ht="38.25" x14ac:dyDescent="0.2">
      <c r="B9" s="22" t="s">
        <v>84</v>
      </c>
      <c r="C9" s="23" t="s">
        <v>85</v>
      </c>
      <c r="D9" s="24" t="s">
        <v>86</v>
      </c>
      <c r="E9" s="25" t="s">
        <v>138</v>
      </c>
      <c r="F9" s="36" t="s">
        <v>161</v>
      </c>
      <c r="G9" s="26">
        <v>3</v>
      </c>
      <c r="H9" s="26">
        <v>8</v>
      </c>
      <c r="I9" s="26">
        <v>2</v>
      </c>
      <c r="J9" s="26">
        <f>Table1[[#This Row],[Probability
(1 to 10)]]*Table1[[#This Row],[Severity
(1 to 10)]]*Table1[[#This Row],[Detection
(1 to 10)]]</f>
        <v>48</v>
      </c>
      <c r="K9" s="27" t="s">
        <v>75</v>
      </c>
      <c r="L9" s="24"/>
    </row>
    <row r="10" spans="2:12" s="28" customFormat="1" ht="24.95" customHeight="1" x14ac:dyDescent="0.2">
      <c r="B10" s="22" t="s">
        <v>87</v>
      </c>
      <c r="C10" s="23" t="s">
        <v>88</v>
      </c>
      <c r="D10" s="24" t="s">
        <v>89</v>
      </c>
      <c r="E10" s="25" t="s">
        <v>137</v>
      </c>
      <c r="F10" s="36" t="s">
        <v>161</v>
      </c>
      <c r="G10" s="26">
        <v>5</v>
      </c>
      <c r="H10" s="26">
        <v>7</v>
      </c>
      <c r="I10" s="26">
        <v>3</v>
      </c>
      <c r="J10" s="26">
        <f>Table1[[#This Row],[Probability
(1 to 10)]]*Table1[[#This Row],[Severity
(1 to 10)]]*Table1[[#This Row],[Detection
(1 to 10)]]</f>
        <v>105</v>
      </c>
      <c r="K10" s="27" t="s">
        <v>75</v>
      </c>
      <c r="L10" s="24"/>
    </row>
    <row r="11" spans="2:12" s="28" customFormat="1" ht="24.95" customHeight="1" x14ac:dyDescent="0.2">
      <c r="B11" s="22" t="s">
        <v>90</v>
      </c>
      <c r="C11" s="23" t="s">
        <v>91</v>
      </c>
      <c r="D11" s="24" t="s">
        <v>92</v>
      </c>
      <c r="E11" s="25" t="s">
        <v>143</v>
      </c>
      <c r="F11" s="36" t="s">
        <v>161</v>
      </c>
      <c r="G11" s="26">
        <v>5</v>
      </c>
      <c r="H11" s="26">
        <v>6</v>
      </c>
      <c r="I11" s="26">
        <v>2</v>
      </c>
      <c r="J11" s="26">
        <f>Table1[[#This Row],[Probability
(1 to 10)]]*Table1[[#This Row],[Severity
(1 to 10)]]*Table1[[#This Row],[Detection
(1 to 10)]]</f>
        <v>60</v>
      </c>
      <c r="K11" s="27" t="s">
        <v>75</v>
      </c>
      <c r="L11" s="24"/>
    </row>
    <row r="12" spans="2:12" s="28" customFormat="1" ht="24.95" customHeight="1" x14ac:dyDescent="0.2">
      <c r="B12" s="22" t="s">
        <v>93</v>
      </c>
      <c r="C12" s="23" t="s">
        <v>94</v>
      </c>
      <c r="D12" s="24" t="s">
        <v>95</v>
      </c>
      <c r="E12" s="25" t="s">
        <v>144</v>
      </c>
      <c r="F12" s="36" t="s">
        <v>161</v>
      </c>
      <c r="G12" s="26">
        <v>3</v>
      </c>
      <c r="H12" s="26">
        <v>7</v>
      </c>
      <c r="I12" s="26">
        <v>4</v>
      </c>
      <c r="J12" s="26">
        <f>Table1[[#This Row],[Probability
(1 to 10)]]*Table1[[#This Row],[Severity
(1 to 10)]]*Table1[[#This Row],[Detection
(1 to 10)]]</f>
        <v>84</v>
      </c>
      <c r="K12" s="27" t="s">
        <v>75</v>
      </c>
      <c r="L12" s="24"/>
    </row>
    <row r="13" spans="2:12" s="28" customFormat="1" ht="38.25" x14ac:dyDescent="0.2">
      <c r="B13" s="22" t="s">
        <v>96</v>
      </c>
      <c r="C13" s="23" t="s">
        <v>97</v>
      </c>
      <c r="D13" s="24" t="s">
        <v>98</v>
      </c>
      <c r="E13" s="25" t="s">
        <v>145</v>
      </c>
      <c r="F13" s="36" t="s">
        <v>161</v>
      </c>
      <c r="G13" s="26">
        <v>4</v>
      </c>
      <c r="H13" s="26">
        <v>8</v>
      </c>
      <c r="I13" s="26">
        <v>2</v>
      </c>
      <c r="J13" s="26">
        <f>Table1[[#This Row],[Probability
(1 to 10)]]*Table1[[#This Row],[Severity
(1 to 10)]]*Table1[[#This Row],[Detection
(1 to 10)]]</f>
        <v>64</v>
      </c>
      <c r="K13" s="27" t="s">
        <v>75</v>
      </c>
      <c r="L13" s="24"/>
    </row>
    <row r="14" spans="2:12" s="28" customFormat="1" ht="24.95" customHeight="1" x14ac:dyDescent="0.2">
      <c r="B14" s="22" t="s">
        <v>99</v>
      </c>
      <c r="C14" s="23" t="s">
        <v>100</v>
      </c>
      <c r="D14" s="24" t="s">
        <v>101</v>
      </c>
      <c r="E14" s="25" t="s">
        <v>153</v>
      </c>
      <c r="F14" s="36" t="s">
        <v>161</v>
      </c>
      <c r="G14" s="26">
        <v>3</v>
      </c>
      <c r="H14" s="26">
        <v>8</v>
      </c>
      <c r="I14" s="26">
        <v>4</v>
      </c>
      <c r="J14" s="26">
        <f>Table1[[#This Row],[Probability
(1 to 10)]]*Table1[[#This Row],[Severity
(1 to 10)]]*Table1[[#This Row],[Detection
(1 to 10)]]</f>
        <v>96</v>
      </c>
      <c r="K14" s="27" t="s">
        <v>75</v>
      </c>
      <c r="L14" s="24"/>
    </row>
    <row r="15" spans="2:12" s="28" customFormat="1" ht="38.25" x14ac:dyDescent="0.2">
      <c r="B15" s="22" t="s">
        <v>102</v>
      </c>
      <c r="C15" s="23" t="s">
        <v>103</v>
      </c>
      <c r="D15" s="24" t="s">
        <v>104</v>
      </c>
      <c r="E15" s="25" t="s">
        <v>159</v>
      </c>
      <c r="F15" s="36" t="s">
        <v>161</v>
      </c>
      <c r="G15" s="26">
        <v>5</v>
      </c>
      <c r="H15" s="26">
        <v>8</v>
      </c>
      <c r="I15" s="26">
        <v>3</v>
      </c>
      <c r="J15" s="26">
        <f>Table1[[#This Row],[Probability
(1 to 10)]]*Table1[[#This Row],[Severity
(1 to 10)]]*Table1[[#This Row],[Detection
(1 to 10)]]</f>
        <v>120</v>
      </c>
      <c r="K15" s="27" t="s">
        <v>75</v>
      </c>
      <c r="L15" s="24"/>
    </row>
    <row r="16" spans="2:12" s="28" customFormat="1" ht="38.25" x14ac:dyDescent="0.2">
      <c r="B16" s="22" t="s">
        <v>105</v>
      </c>
      <c r="C16" s="23" t="s">
        <v>106</v>
      </c>
      <c r="D16" s="24" t="s">
        <v>107</v>
      </c>
      <c r="E16" s="25" t="s">
        <v>158</v>
      </c>
      <c r="F16" s="36" t="s">
        <v>161</v>
      </c>
      <c r="G16" s="26">
        <v>5</v>
      </c>
      <c r="H16" s="26">
        <v>7</v>
      </c>
      <c r="I16" s="26">
        <v>2</v>
      </c>
      <c r="J16" s="26">
        <f>Table1[[#This Row],[Probability
(1 to 10)]]*Table1[[#This Row],[Severity
(1 to 10)]]*Table1[[#This Row],[Detection
(1 to 10)]]</f>
        <v>70</v>
      </c>
      <c r="K16" s="27" t="s">
        <v>75</v>
      </c>
      <c r="L16" s="24"/>
    </row>
    <row r="17" spans="2:12" s="28" customFormat="1" ht="25.5" x14ac:dyDescent="0.2">
      <c r="B17" s="22" t="s">
        <v>108</v>
      </c>
      <c r="C17" s="23" t="s">
        <v>109</v>
      </c>
      <c r="D17" s="24" t="s">
        <v>110</v>
      </c>
      <c r="E17" s="25" t="s">
        <v>154</v>
      </c>
      <c r="F17" s="36" t="s">
        <v>161</v>
      </c>
      <c r="G17" s="26">
        <v>5</v>
      </c>
      <c r="H17" s="26">
        <v>8</v>
      </c>
      <c r="I17" s="26">
        <v>2</v>
      </c>
      <c r="J17" s="26">
        <f>Table1[[#This Row],[Probability
(1 to 10)]]*Table1[[#This Row],[Severity
(1 to 10)]]*Table1[[#This Row],[Detection
(1 to 10)]]</f>
        <v>80</v>
      </c>
      <c r="K17" s="27" t="s">
        <v>75</v>
      </c>
      <c r="L17" s="24"/>
    </row>
    <row r="18" spans="2:12" s="28" customFormat="1" ht="25.5" x14ac:dyDescent="0.2">
      <c r="B18" s="22" t="s">
        <v>111</v>
      </c>
      <c r="C18" s="23" t="s">
        <v>112</v>
      </c>
      <c r="D18" s="24" t="s">
        <v>113</v>
      </c>
      <c r="E18" s="25" t="s">
        <v>155</v>
      </c>
      <c r="F18" s="36" t="s">
        <v>161</v>
      </c>
      <c r="G18" s="26">
        <v>4</v>
      </c>
      <c r="H18" s="26">
        <v>6</v>
      </c>
      <c r="I18" s="26">
        <v>4</v>
      </c>
      <c r="J18" s="26">
        <f>Table1[[#This Row],[Probability
(1 to 10)]]*Table1[[#This Row],[Severity
(1 to 10)]]*Table1[[#This Row],[Detection
(1 to 10)]]</f>
        <v>96</v>
      </c>
      <c r="K18" s="27" t="s">
        <v>75</v>
      </c>
      <c r="L18" s="24"/>
    </row>
    <row r="19" spans="2:12" s="28" customFormat="1" ht="25.5" x14ac:dyDescent="0.2">
      <c r="B19" s="22" t="s">
        <v>114</v>
      </c>
      <c r="C19" s="23" t="s">
        <v>115</v>
      </c>
      <c r="D19" s="25" t="s">
        <v>147</v>
      </c>
      <c r="E19" s="25" t="s">
        <v>148</v>
      </c>
      <c r="F19" s="36" t="s">
        <v>161</v>
      </c>
      <c r="G19" s="26">
        <v>3</v>
      </c>
      <c r="H19" s="26">
        <v>6</v>
      </c>
      <c r="I19" s="26">
        <v>3</v>
      </c>
      <c r="J19" s="26">
        <f>Table1[[#This Row],[Probability
(1 to 10)]]*Table1[[#This Row],[Severity
(1 to 10)]]*Table1[[#This Row],[Detection
(1 to 10)]]</f>
        <v>54</v>
      </c>
      <c r="K19" s="27" t="s">
        <v>75</v>
      </c>
      <c r="L19" s="24"/>
    </row>
    <row r="20" spans="2:12" s="28" customFormat="1" ht="38.25" x14ac:dyDescent="0.2">
      <c r="B20" s="22" t="s">
        <v>116</v>
      </c>
      <c r="C20" s="23" t="s">
        <v>117</v>
      </c>
      <c r="D20" s="24" t="s">
        <v>118</v>
      </c>
      <c r="E20" s="25" t="s">
        <v>156</v>
      </c>
      <c r="F20" s="36" t="s">
        <v>161</v>
      </c>
      <c r="G20" s="26">
        <v>4</v>
      </c>
      <c r="H20" s="26">
        <v>9</v>
      </c>
      <c r="I20" s="26">
        <v>3</v>
      </c>
      <c r="J20" s="26">
        <f>Table1[[#This Row],[Probability
(1 to 10)]]*Table1[[#This Row],[Severity
(1 to 10)]]*Table1[[#This Row],[Detection
(1 to 10)]]</f>
        <v>108</v>
      </c>
      <c r="K20" s="27" t="s">
        <v>75</v>
      </c>
      <c r="L20" s="24"/>
    </row>
    <row r="21" spans="2:12" s="28" customFormat="1" ht="38.25" x14ac:dyDescent="0.2">
      <c r="B21" s="22" t="s">
        <v>119</v>
      </c>
      <c r="C21" s="23" t="s">
        <v>120</v>
      </c>
      <c r="D21" s="24" t="s">
        <v>121</v>
      </c>
      <c r="E21" s="25" t="s">
        <v>157</v>
      </c>
      <c r="F21" s="36" t="s">
        <v>161</v>
      </c>
      <c r="G21" s="26">
        <v>4</v>
      </c>
      <c r="H21" s="26">
        <v>7</v>
      </c>
      <c r="I21" s="26">
        <v>3</v>
      </c>
      <c r="J21" s="26">
        <f>Table1[[#This Row],[Probability
(1 to 10)]]*Table1[[#This Row],[Severity
(1 to 10)]]*Table1[[#This Row],[Detection
(1 to 10)]]</f>
        <v>84</v>
      </c>
      <c r="K21" s="27" t="s">
        <v>75</v>
      </c>
      <c r="L21" s="24"/>
    </row>
    <row r="22" spans="2:12" s="28" customFormat="1" ht="24.95" customHeight="1" x14ac:dyDescent="0.2">
      <c r="B22" s="22" t="s">
        <v>122</v>
      </c>
      <c r="C22" s="23" t="s">
        <v>123</v>
      </c>
      <c r="D22" s="24" t="s">
        <v>124</v>
      </c>
      <c r="E22" s="25" t="s">
        <v>146</v>
      </c>
      <c r="F22" s="36" t="s">
        <v>161</v>
      </c>
      <c r="G22" s="26">
        <v>3</v>
      </c>
      <c r="H22" s="26">
        <v>8</v>
      </c>
      <c r="I22" s="26">
        <v>4</v>
      </c>
      <c r="J22" s="26">
        <f>Table1[[#This Row],[Probability
(1 to 10)]]*Table1[[#This Row],[Severity
(1 to 10)]]*Table1[[#This Row],[Detection
(1 to 10)]]</f>
        <v>96</v>
      </c>
      <c r="K22" s="27" t="s">
        <v>75</v>
      </c>
      <c r="L22" s="24"/>
    </row>
    <row r="23" spans="2:12" s="28" customFormat="1" ht="24.95" customHeight="1" x14ac:dyDescent="0.2">
      <c r="B23" s="22" t="s">
        <v>125</v>
      </c>
      <c r="C23" s="23" t="s">
        <v>126</v>
      </c>
      <c r="D23" s="24" t="s">
        <v>127</v>
      </c>
      <c r="E23" s="25" t="s">
        <v>141</v>
      </c>
      <c r="F23" s="36" t="s">
        <v>161</v>
      </c>
      <c r="G23" s="26">
        <v>5</v>
      </c>
      <c r="H23" s="26">
        <v>7</v>
      </c>
      <c r="I23" s="26">
        <v>2</v>
      </c>
      <c r="J23" s="26">
        <f>Table1[[#This Row],[Probability
(1 to 10)]]*Table1[[#This Row],[Severity
(1 to 10)]]*Table1[[#This Row],[Detection
(1 to 10)]]</f>
        <v>70</v>
      </c>
      <c r="K23" s="27" t="s">
        <v>75</v>
      </c>
      <c r="L23" s="24"/>
    </row>
    <row r="24" spans="2:12" s="28" customFormat="1" ht="24.95" customHeight="1" x14ac:dyDescent="0.2">
      <c r="B24" s="26" t="s">
        <v>128</v>
      </c>
      <c r="C24" s="13" t="s">
        <v>129</v>
      </c>
      <c r="D24" s="28" t="s">
        <v>130</v>
      </c>
      <c r="E24" s="29" t="s">
        <v>140</v>
      </c>
      <c r="F24" s="36" t="s">
        <v>161</v>
      </c>
      <c r="G24" s="26">
        <v>4</v>
      </c>
      <c r="H24" s="26">
        <v>7</v>
      </c>
      <c r="I24" s="26">
        <v>3</v>
      </c>
      <c r="J24" s="26">
        <f>Table1[[#This Row],[Probability
(1 to 10)]]*Table1[[#This Row],[Severity
(1 to 10)]]*Table1[[#This Row],[Detection
(1 to 10)]]</f>
        <v>84</v>
      </c>
      <c r="K24" s="27" t="s">
        <v>75</v>
      </c>
    </row>
    <row r="25" spans="2:12" s="28" customFormat="1" ht="38.25" x14ac:dyDescent="0.2">
      <c r="B25" s="26" t="s">
        <v>131</v>
      </c>
      <c r="C25" s="13" t="s">
        <v>132</v>
      </c>
      <c r="D25" s="28" t="s">
        <v>133</v>
      </c>
      <c r="E25" s="25" t="s">
        <v>142</v>
      </c>
      <c r="F25" s="36" t="s">
        <v>161</v>
      </c>
      <c r="G25" s="26">
        <v>5</v>
      </c>
      <c r="H25" s="26">
        <v>7</v>
      </c>
      <c r="I25" s="26">
        <v>2</v>
      </c>
      <c r="J25" s="26">
        <f>Table1[[#This Row],[Probability
(1 to 10)]]*Table1[[#This Row],[Severity
(1 to 10)]]*Table1[[#This Row],[Detection
(1 to 10)]]</f>
        <v>70</v>
      </c>
      <c r="K25" s="27" t="s">
        <v>75</v>
      </c>
    </row>
    <row r="26" spans="2:12" x14ac:dyDescent="0.2">
      <c r="B26" s="2"/>
      <c r="C26" s="2"/>
    </row>
  </sheetData>
  <mergeCells count="2">
    <mergeCell ref="B1:L1"/>
    <mergeCell ref="B2:L2"/>
  </mergeCells>
  <phoneticPr fontId="3" type="noConversion"/>
  <conditionalFormatting sqref="J4:J25">
    <cfRule type="cellIs" dxfId="15" priority="1" operator="greaterThan">
      <formula>300</formula>
    </cfRule>
    <cfRule type="cellIs" dxfId="14" priority="2" operator="between">
      <formula>101</formula>
      <formula>300</formula>
    </cfRule>
    <cfRule type="cellIs" dxfId="13" priority="3" operator="lessThan">
      <formula>101</formula>
    </cfRule>
  </conditionalFormatting>
  <printOptions gridLines="1"/>
  <pageMargins left="0.64" right="0.49" top="1" bottom="1" header="0.5" footer="0.5"/>
  <pageSetup orientation="landscape" r:id="rId1"/>
  <headerFooter alignWithMargins="0"/>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4AE9-AD50-4893-9483-FE881AED0BFB}">
  <sheetPr>
    <tabColor rgb="FFFFC000"/>
    <pageSetUpPr fitToPage="1"/>
  </sheetPr>
  <dimension ref="A1:F36"/>
  <sheetViews>
    <sheetView topLeftCell="A8" workbookViewId="0">
      <selection activeCell="I26" sqref="I26"/>
    </sheetView>
  </sheetViews>
  <sheetFormatPr defaultRowHeight="12.75" x14ac:dyDescent="0.2"/>
  <cols>
    <col min="1" max="1" width="34.5703125" bestFit="1" customWidth="1"/>
    <col min="2" max="2" width="57.42578125" style="2" customWidth="1"/>
    <col min="3" max="3" width="9.140625" customWidth="1"/>
  </cols>
  <sheetData>
    <row r="1" spans="1:6" ht="15.75" x14ac:dyDescent="0.2">
      <c r="A1" s="41" t="s">
        <v>21</v>
      </c>
      <c r="B1" s="42"/>
      <c r="C1" s="43"/>
      <c r="D1" s="10"/>
      <c r="E1" s="10"/>
      <c r="F1" s="10"/>
    </row>
    <row r="2" spans="1:6" ht="30" customHeight="1" x14ac:dyDescent="0.2">
      <c r="A2" s="6" t="s">
        <v>22</v>
      </c>
      <c r="B2" s="6" t="s">
        <v>23</v>
      </c>
      <c r="C2" s="6" t="s">
        <v>24</v>
      </c>
    </row>
    <row r="3" spans="1:6" ht="15" customHeight="1" x14ac:dyDescent="0.2">
      <c r="A3" s="7" t="s">
        <v>25</v>
      </c>
      <c r="B3" s="1" t="s">
        <v>26</v>
      </c>
      <c r="C3" s="5">
        <v>10</v>
      </c>
    </row>
    <row r="4" spans="1:6" ht="15" customHeight="1" x14ac:dyDescent="0.2">
      <c r="A4" s="8"/>
      <c r="B4" s="1" t="s">
        <v>27</v>
      </c>
      <c r="C4" s="5">
        <v>9</v>
      </c>
    </row>
    <row r="5" spans="1:6" ht="15" customHeight="1" x14ac:dyDescent="0.2">
      <c r="A5" s="7" t="s">
        <v>28</v>
      </c>
      <c r="B5" s="1" t="s">
        <v>29</v>
      </c>
      <c r="C5" s="5">
        <v>8</v>
      </c>
    </row>
    <row r="6" spans="1:6" ht="15" customHeight="1" x14ac:dyDescent="0.2">
      <c r="A6" s="8"/>
      <c r="B6" s="1" t="s">
        <v>30</v>
      </c>
      <c r="C6" s="5">
        <v>7</v>
      </c>
    </row>
    <row r="7" spans="1:6" ht="15" customHeight="1" x14ac:dyDescent="0.2">
      <c r="A7" s="7" t="s">
        <v>31</v>
      </c>
      <c r="B7" s="1" t="s">
        <v>32</v>
      </c>
      <c r="C7" s="5">
        <v>6</v>
      </c>
    </row>
    <row r="8" spans="1:6" ht="15" customHeight="1" x14ac:dyDescent="0.2">
      <c r="A8" s="9"/>
      <c r="B8" s="1" t="s">
        <v>33</v>
      </c>
      <c r="C8" s="5">
        <v>5</v>
      </c>
    </row>
    <row r="9" spans="1:6" ht="15" customHeight="1" x14ac:dyDescent="0.2">
      <c r="A9" s="8"/>
      <c r="B9" s="1" t="s">
        <v>34</v>
      </c>
      <c r="C9" s="5">
        <v>4</v>
      </c>
    </row>
    <row r="10" spans="1:6" ht="15" customHeight="1" x14ac:dyDescent="0.2">
      <c r="A10" s="7" t="s">
        <v>35</v>
      </c>
      <c r="B10" s="1" t="s">
        <v>36</v>
      </c>
      <c r="C10" s="5">
        <v>3</v>
      </c>
    </row>
    <row r="11" spans="1:6" ht="15" customHeight="1" x14ac:dyDescent="0.2">
      <c r="A11" s="8"/>
      <c r="B11" s="1" t="s">
        <v>37</v>
      </c>
      <c r="C11" s="5">
        <v>2</v>
      </c>
    </row>
    <row r="12" spans="1:6" ht="15" customHeight="1" x14ac:dyDescent="0.2">
      <c r="A12" s="5" t="s">
        <v>38</v>
      </c>
      <c r="B12" s="1" t="s">
        <v>39</v>
      </c>
      <c r="C12" s="5">
        <v>1</v>
      </c>
    </row>
    <row r="13" spans="1:6" ht="15.75" x14ac:dyDescent="0.2">
      <c r="A13" s="41" t="s">
        <v>40</v>
      </c>
      <c r="B13" s="42"/>
      <c r="C13" s="43"/>
      <c r="D13" s="10"/>
      <c r="E13" s="10"/>
      <c r="F13" s="10"/>
    </row>
    <row r="14" spans="1:6" ht="30" customHeight="1" x14ac:dyDescent="0.2">
      <c r="A14" s="6" t="s">
        <v>41</v>
      </c>
      <c r="B14" s="6" t="s">
        <v>42</v>
      </c>
      <c r="C14" s="6" t="s">
        <v>24</v>
      </c>
    </row>
    <row r="15" spans="1:6" ht="30" customHeight="1" x14ac:dyDescent="0.2">
      <c r="A15" s="11" t="s">
        <v>43</v>
      </c>
      <c r="B15" s="12" t="s">
        <v>44</v>
      </c>
      <c r="C15" s="5">
        <v>10</v>
      </c>
    </row>
    <row r="16" spans="1:6" ht="30" customHeight="1" x14ac:dyDescent="0.2">
      <c r="A16" s="11" t="s">
        <v>45</v>
      </c>
      <c r="B16" s="12" t="s">
        <v>46</v>
      </c>
      <c r="C16" s="5">
        <v>9</v>
      </c>
    </row>
    <row r="17" spans="1:6" ht="30" customHeight="1" x14ac:dyDescent="0.2">
      <c r="A17" s="11" t="s">
        <v>47</v>
      </c>
      <c r="B17" s="12" t="s">
        <v>48</v>
      </c>
      <c r="C17" s="5">
        <v>8</v>
      </c>
    </row>
    <row r="18" spans="1:6" ht="30" customHeight="1" x14ac:dyDescent="0.2">
      <c r="A18" s="11" t="s">
        <v>49</v>
      </c>
      <c r="B18" s="12" t="s">
        <v>50</v>
      </c>
      <c r="C18" s="5">
        <v>7</v>
      </c>
    </row>
    <row r="19" spans="1:6" ht="30" customHeight="1" x14ac:dyDescent="0.2">
      <c r="A19" s="11" t="s">
        <v>51</v>
      </c>
      <c r="B19" s="12" t="s">
        <v>52</v>
      </c>
      <c r="C19" s="5">
        <v>6</v>
      </c>
    </row>
    <row r="20" spans="1:6" ht="30" customHeight="1" x14ac:dyDescent="0.2">
      <c r="A20" s="11" t="s">
        <v>53</v>
      </c>
      <c r="B20" s="12" t="s">
        <v>54</v>
      </c>
      <c r="C20" s="5">
        <v>5</v>
      </c>
    </row>
    <row r="21" spans="1:6" ht="30" customHeight="1" x14ac:dyDescent="0.2">
      <c r="A21" s="11" t="s">
        <v>55</v>
      </c>
      <c r="B21" s="12" t="s">
        <v>56</v>
      </c>
      <c r="C21" s="5">
        <v>4</v>
      </c>
    </row>
    <row r="22" spans="1:6" ht="30" customHeight="1" x14ac:dyDescent="0.2">
      <c r="A22" s="11" t="s">
        <v>57</v>
      </c>
      <c r="B22" s="12" t="s">
        <v>58</v>
      </c>
      <c r="C22" s="5">
        <v>3</v>
      </c>
    </row>
    <row r="23" spans="1:6" ht="30" customHeight="1" x14ac:dyDescent="0.2">
      <c r="A23" s="11" t="s">
        <v>59</v>
      </c>
      <c r="B23" s="12" t="s">
        <v>60</v>
      </c>
      <c r="C23" s="5">
        <v>2</v>
      </c>
    </row>
    <row r="24" spans="1:6" ht="30" customHeight="1" x14ac:dyDescent="0.2">
      <c r="A24" s="11" t="s">
        <v>38</v>
      </c>
      <c r="B24" s="12" t="s">
        <v>61</v>
      </c>
      <c r="C24" s="5">
        <v>1</v>
      </c>
    </row>
    <row r="25" spans="1:6" ht="15.75" x14ac:dyDescent="0.2">
      <c r="A25" s="15"/>
      <c r="B25" s="41" t="s">
        <v>62</v>
      </c>
      <c r="C25" s="43"/>
      <c r="D25" s="10"/>
      <c r="E25" s="10"/>
      <c r="F25" s="10"/>
    </row>
    <row r="26" spans="1:6" ht="30" customHeight="1" x14ac:dyDescent="0.2">
      <c r="A26" s="14"/>
      <c r="B26" s="6" t="s">
        <v>63</v>
      </c>
      <c r="C26" s="6" t="s">
        <v>24</v>
      </c>
    </row>
    <row r="27" spans="1:6" ht="30" customHeight="1" x14ac:dyDescent="0.2">
      <c r="A27" s="13"/>
      <c r="B27" s="11" t="s">
        <v>64</v>
      </c>
      <c r="C27" s="5">
        <v>10</v>
      </c>
    </row>
    <row r="28" spans="1:6" ht="30" customHeight="1" x14ac:dyDescent="0.2">
      <c r="A28" s="13"/>
      <c r="B28" s="11" t="s">
        <v>65</v>
      </c>
      <c r="C28" s="5">
        <v>9</v>
      </c>
    </row>
    <row r="29" spans="1:6" ht="30" customHeight="1" x14ac:dyDescent="0.2">
      <c r="A29" s="13"/>
      <c r="B29" s="11" t="s">
        <v>66</v>
      </c>
      <c r="C29" s="5">
        <v>8</v>
      </c>
    </row>
    <row r="30" spans="1:6" ht="30" customHeight="1" x14ac:dyDescent="0.2">
      <c r="A30" s="13"/>
      <c r="B30" s="11" t="s">
        <v>55</v>
      </c>
      <c r="C30" s="5">
        <v>7</v>
      </c>
    </row>
    <row r="31" spans="1:6" ht="30" customHeight="1" x14ac:dyDescent="0.2">
      <c r="A31" s="13"/>
      <c r="B31" s="11" t="s">
        <v>53</v>
      </c>
      <c r="C31" s="5">
        <v>6</v>
      </c>
    </row>
    <row r="32" spans="1:6" ht="30" customHeight="1" x14ac:dyDescent="0.2">
      <c r="A32" s="13"/>
      <c r="B32" s="11" t="s">
        <v>67</v>
      </c>
      <c r="C32" s="5">
        <v>5</v>
      </c>
    </row>
    <row r="33" spans="1:3" ht="30" customHeight="1" x14ac:dyDescent="0.2">
      <c r="A33" s="13"/>
      <c r="B33" s="11" t="s">
        <v>68</v>
      </c>
      <c r="C33" s="5">
        <v>4</v>
      </c>
    </row>
    <row r="34" spans="1:3" ht="30" customHeight="1" x14ac:dyDescent="0.2">
      <c r="A34" s="13"/>
      <c r="B34" s="11" t="s">
        <v>69</v>
      </c>
      <c r="C34" s="5">
        <v>3</v>
      </c>
    </row>
    <row r="35" spans="1:3" ht="30" customHeight="1" x14ac:dyDescent="0.2">
      <c r="A35" s="13"/>
      <c r="B35" s="11" t="s">
        <v>70</v>
      </c>
      <c r="C35" s="5">
        <v>2</v>
      </c>
    </row>
    <row r="36" spans="1:3" ht="30" customHeight="1" x14ac:dyDescent="0.2">
      <c r="A36" s="13"/>
      <c r="B36" s="11" t="s">
        <v>71</v>
      </c>
      <c r="C36" s="5">
        <v>1</v>
      </c>
    </row>
  </sheetData>
  <mergeCells count="3">
    <mergeCell ref="A1:C1"/>
    <mergeCell ref="A13:C13"/>
    <mergeCell ref="B25:C25"/>
  </mergeCells>
  <phoneticPr fontId="3" type="noConversion"/>
  <pageMargins left="0.75" right="0.75" top="1" bottom="1" header="0.5" footer="0.5"/>
  <pageSetup scale="7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157D-25FF-452D-8000-061DF23989D7}">
  <sheetPr>
    <tabColor rgb="FFFF0000"/>
    <pageSetUpPr fitToPage="1"/>
  </sheetPr>
  <dimension ref="B1:J33"/>
  <sheetViews>
    <sheetView workbookViewId="0">
      <selection activeCell="B1" sqref="B1:J1"/>
    </sheetView>
  </sheetViews>
  <sheetFormatPr defaultRowHeight="12.75" x14ac:dyDescent="0.2"/>
  <cols>
    <col min="2" max="2" width="9.42578125" style="2" customWidth="1"/>
    <col min="3" max="3" width="56.42578125" style="3" customWidth="1"/>
    <col min="4" max="4" width="14" style="2" customWidth="1"/>
    <col min="5" max="5" width="18.5703125" style="2" customWidth="1"/>
    <col min="6" max="6" width="15.140625" style="2" customWidth="1"/>
    <col min="7" max="7" width="20.140625" style="2" customWidth="1"/>
    <col min="8" max="8" width="18" style="2" customWidth="1"/>
    <col min="9" max="9" width="51.5703125" style="3" bestFit="1" customWidth="1"/>
    <col min="10" max="10" width="34.140625" style="3" customWidth="1"/>
  </cols>
  <sheetData>
    <row r="1" spans="2:10" s="16" customFormat="1" ht="16.5" customHeight="1" x14ac:dyDescent="0.25">
      <c r="B1" s="40" t="s">
        <v>0</v>
      </c>
      <c r="C1" s="40"/>
      <c r="D1" s="40"/>
      <c r="E1" s="40"/>
      <c r="F1" s="40"/>
      <c r="G1" s="40"/>
      <c r="H1" s="40"/>
      <c r="I1" s="40"/>
      <c r="J1" s="40"/>
    </row>
    <row r="2" spans="2:10" s="17" customFormat="1" ht="16.5" customHeight="1" x14ac:dyDescent="0.2">
      <c r="B2" s="39" t="s">
        <v>160</v>
      </c>
      <c r="C2" s="39"/>
      <c r="D2" s="39"/>
      <c r="E2" s="39"/>
      <c r="F2" s="39"/>
      <c r="G2" s="39"/>
      <c r="H2" s="39"/>
      <c r="I2" s="39"/>
      <c r="J2" s="39"/>
    </row>
    <row r="3" spans="2:10" s="19" customFormat="1" ht="26.25" customHeight="1" x14ac:dyDescent="0.2">
      <c r="B3" s="36" t="s">
        <v>1</v>
      </c>
      <c r="C3" s="25" t="s">
        <v>2</v>
      </c>
      <c r="D3" s="14" t="s">
        <v>3</v>
      </c>
      <c r="E3" s="36" t="s">
        <v>4</v>
      </c>
      <c r="F3" s="36" t="s">
        <v>5</v>
      </c>
      <c r="G3" s="36" t="s">
        <v>6</v>
      </c>
      <c r="H3" s="36" t="s">
        <v>7</v>
      </c>
      <c r="I3" s="25" t="s">
        <v>8</v>
      </c>
      <c r="J3" s="25" t="s">
        <v>9</v>
      </c>
    </row>
    <row r="4" spans="2:10" s="17" customFormat="1" x14ac:dyDescent="0.2">
      <c r="B4" s="30" t="s">
        <v>10</v>
      </c>
      <c r="C4" s="20"/>
      <c r="D4" s="31"/>
      <c r="E4" s="32"/>
      <c r="F4" s="32"/>
      <c r="G4" s="32"/>
      <c r="H4" s="30"/>
      <c r="I4" s="20"/>
      <c r="J4" s="35"/>
    </row>
    <row r="5" spans="2:10" s="17" customFormat="1" x14ac:dyDescent="0.2">
      <c r="B5" s="30" t="s">
        <v>11</v>
      </c>
      <c r="C5" s="21"/>
      <c r="D5" s="30"/>
      <c r="E5" s="32"/>
      <c r="F5" s="32"/>
      <c r="G5" s="30"/>
      <c r="H5" s="30"/>
      <c r="I5" s="20"/>
      <c r="J5" s="20"/>
    </row>
    <row r="6" spans="2:10" s="17" customFormat="1" x14ac:dyDescent="0.2">
      <c r="B6" s="30"/>
      <c r="C6" s="20"/>
      <c r="D6" s="31"/>
      <c r="E6" s="30"/>
      <c r="F6" s="30"/>
      <c r="G6" s="30"/>
      <c r="H6" s="30"/>
      <c r="I6" s="20"/>
      <c r="J6" s="20"/>
    </row>
    <row r="7" spans="2:10" s="17" customFormat="1" x14ac:dyDescent="0.2">
      <c r="B7" s="30"/>
      <c r="C7" s="20"/>
      <c r="D7" s="31"/>
      <c r="E7" s="30"/>
      <c r="F7" s="30"/>
      <c r="G7" s="30"/>
      <c r="H7" s="30"/>
      <c r="I7" s="20"/>
      <c r="J7" s="20"/>
    </row>
    <row r="8" spans="2:10" s="17" customFormat="1" x14ac:dyDescent="0.2">
      <c r="B8" s="30"/>
      <c r="C8" s="20"/>
      <c r="D8" s="31"/>
      <c r="E8" s="30"/>
      <c r="F8" s="30"/>
      <c r="G8" s="30"/>
      <c r="H8" s="30"/>
      <c r="I8" s="20"/>
      <c r="J8" s="20"/>
    </row>
    <row r="9" spans="2:10" s="17" customFormat="1" x14ac:dyDescent="0.2">
      <c r="B9" s="30"/>
      <c r="C9" s="20"/>
      <c r="D9" s="31"/>
      <c r="E9" s="30"/>
      <c r="F9" s="30"/>
      <c r="G9" s="30"/>
      <c r="H9" s="30"/>
      <c r="I9" s="20"/>
      <c r="J9" s="20"/>
    </row>
    <row r="10" spans="2:10" s="17" customFormat="1" x14ac:dyDescent="0.2">
      <c r="B10" s="30"/>
      <c r="C10" s="20"/>
      <c r="D10" s="31"/>
      <c r="E10" s="30"/>
      <c r="F10" s="30"/>
      <c r="G10" s="30"/>
      <c r="H10" s="30"/>
      <c r="I10" s="20"/>
      <c r="J10" s="20"/>
    </row>
    <row r="11" spans="2:10" s="17" customFormat="1" x14ac:dyDescent="0.2">
      <c r="B11" s="30"/>
      <c r="C11" s="20"/>
      <c r="D11" s="31"/>
      <c r="E11" s="30"/>
      <c r="F11" s="30"/>
      <c r="G11" s="30"/>
      <c r="H11" s="30"/>
      <c r="I11" s="20"/>
      <c r="J11" s="20"/>
    </row>
    <row r="12" spans="2:10" s="17" customFormat="1" x14ac:dyDescent="0.2">
      <c r="B12" s="30"/>
      <c r="C12" s="20"/>
      <c r="D12" s="31"/>
      <c r="E12" s="30"/>
      <c r="F12" s="30"/>
      <c r="G12" s="30"/>
      <c r="H12" s="30"/>
      <c r="I12" s="20"/>
      <c r="J12" s="20"/>
    </row>
    <row r="13" spans="2:10" s="17" customFormat="1" x14ac:dyDescent="0.2">
      <c r="B13" s="30"/>
      <c r="C13" s="20"/>
      <c r="D13" s="31"/>
      <c r="E13" s="30"/>
      <c r="F13" s="30"/>
      <c r="G13" s="30"/>
      <c r="H13" s="30"/>
      <c r="I13" s="20"/>
      <c r="J13" s="20"/>
    </row>
    <row r="14" spans="2:10" s="17" customFormat="1" x14ac:dyDescent="0.2">
      <c r="B14" s="30"/>
      <c r="C14" s="20"/>
      <c r="D14" s="31"/>
      <c r="E14" s="30"/>
      <c r="F14" s="30"/>
      <c r="G14" s="30"/>
      <c r="H14" s="30"/>
      <c r="I14" s="20"/>
      <c r="J14" s="20"/>
    </row>
    <row r="15" spans="2:10" s="17" customFormat="1" x14ac:dyDescent="0.2">
      <c r="B15" s="30"/>
      <c r="C15" s="20"/>
      <c r="D15" s="31"/>
      <c r="E15" s="30"/>
      <c r="F15" s="30"/>
      <c r="G15" s="30"/>
      <c r="H15" s="30"/>
      <c r="I15" s="20"/>
      <c r="J15" s="20"/>
    </row>
    <row r="16" spans="2:10" s="17" customFormat="1" x14ac:dyDescent="0.2">
      <c r="B16" s="30"/>
      <c r="C16" s="20"/>
      <c r="D16" s="31"/>
      <c r="E16" s="30"/>
      <c r="F16" s="30"/>
      <c r="G16" s="30"/>
      <c r="H16" s="30"/>
      <c r="I16" s="20"/>
      <c r="J16" s="20"/>
    </row>
    <row r="17" spans="2:10" s="18" customFormat="1" ht="11.25" x14ac:dyDescent="0.2">
      <c r="B17" s="33"/>
      <c r="C17" s="34"/>
      <c r="D17" s="33"/>
      <c r="E17" s="33"/>
      <c r="F17" s="33"/>
      <c r="G17" s="33"/>
      <c r="H17" s="33"/>
      <c r="I17" s="34"/>
      <c r="J17" s="34"/>
    </row>
    <row r="18" spans="2:10" s="18" customFormat="1" ht="11.25" x14ac:dyDescent="0.2">
      <c r="B18" s="33"/>
      <c r="C18" s="34"/>
      <c r="D18" s="33"/>
      <c r="E18" s="33"/>
      <c r="F18" s="33"/>
      <c r="G18" s="33"/>
      <c r="H18" s="33"/>
      <c r="I18" s="34"/>
      <c r="J18" s="34"/>
    </row>
    <row r="19" spans="2:10" s="18" customFormat="1" ht="11.25" x14ac:dyDescent="0.2">
      <c r="B19" s="33"/>
      <c r="C19" s="34"/>
      <c r="D19" s="33"/>
      <c r="E19" s="33"/>
      <c r="F19" s="33"/>
      <c r="G19" s="33"/>
      <c r="H19" s="33"/>
      <c r="I19" s="34"/>
      <c r="J19" s="34"/>
    </row>
    <row r="20" spans="2:10" s="18" customFormat="1" ht="11.25" x14ac:dyDescent="0.2">
      <c r="B20" s="33"/>
      <c r="C20" s="34"/>
      <c r="D20" s="33"/>
      <c r="E20" s="33"/>
      <c r="F20" s="33"/>
      <c r="G20" s="33"/>
      <c r="H20" s="33"/>
      <c r="I20" s="34"/>
      <c r="J20" s="34"/>
    </row>
    <row r="21" spans="2:10" s="18" customFormat="1" ht="11.25" x14ac:dyDescent="0.2">
      <c r="B21" s="33"/>
      <c r="C21" s="34"/>
      <c r="D21" s="33"/>
      <c r="E21" s="33"/>
      <c r="F21" s="33"/>
      <c r="G21" s="33"/>
      <c r="H21" s="33"/>
      <c r="I21" s="34"/>
      <c r="J21" s="34"/>
    </row>
    <row r="22" spans="2:10" s="18" customFormat="1" ht="11.25" x14ac:dyDescent="0.2">
      <c r="B22" s="33"/>
      <c r="C22" s="34"/>
      <c r="D22" s="33"/>
      <c r="E22" s="33"/>
      <c r="F22" s="33"/>
      <c r="G22" s="33"/>
      <c r="H22" s="33"/>
      <c r="I22" s="34"/>
      <c r="J22" s="34"/>
    </row>
    <row r="23" spans="2:10" s="18" customFormat="1" ht="11.25" x14ac:dyDescent="0.2">
      <c r="B23" s="33"/>
      <c r="C23" s="34"/>
      <c r="D23" s="33"/>
      <c r="E23" s="33"/>
      <c r="F23" s="33"/>
      <c r="G23" s="33"/>
      <c r="H23" s="33"/>
      <c r="I23" s="34"/>
      <c r="J23" s="34"/>
    </row>
    <row r="24" spans="2:10" s="18" customFormat="1" ht="11.25" x14ac:dyDescent="0.2">
      <c r="B24" s="33"/>
      <c r="C24" s="34"/>
      <c r="D24" s="33"/>
      <c r="E24" s="33"/>
      <c r="F24" s="33"/>
      <c r="G24" s="33"/>
      <c r="H24" s="33"/>
      <c r="I24" s="34"/>
      <c r="J24" s="34"/>
    </row>
    <row r="25" spans="2:10" s="18" customFormat="1" ht="11.25" x14ac:dyDescent="0.2">
      <c r="B25" s="33"/>
      <c r="C25" s="34"/>
      <c r="D25" s="33"/>
      <c r="E25" s="33"/>
      <c r="F25" s="33"/>
      <c r="G25" s="33"/>
      <c r="H25" s="33"/>
      <c r="I25" s="34"/>
      <c r="J25" s="34"/>
    </row>
    <row r="26" spans="2:10" s="18" customFormat="1" ht="11.25" x14ac:dyDescent="0.2">
      <c r="B26" s="33"/>
      <c r="C26" s="34"/>
      <c r="D26" s="33"/>
      <c r="E26" s="33"/>
      <c r="F26" s="33"/>
      <c r="G26" s="33"/>
      <c r="H26" s="33"/>
      <c r="I26" s="34"/>
      <c r="J26" s="34"/>
    </row>
    <row r="27" spans="2:10" s="18" customFormat="1" ht="11.25" x14ac:dyDescent="0.2">
      <c r="B27" s="33"/>
      <c r="C27" s="34"/>
      <c r="D27" s="33"/>
      <c r="E27" s="33"/>
      <c r="F27" s="33"/>
      <c r="G27" s="33"/>
      <c r="H27" s="33"/>
      <c r="I27" s="34"/>
      <c r="J27" s="34"/>
    </row>
    <row r="28" spans="2:10" s="18" customFormat="1" ht="11.25" x14ac:dyDescent="0.2">
      <c r="B28" s="33"/>
      <c r="C28" s="34"/>
      <c r="D28" s="33"/>
      <c r="E28" s="33"/>
      <c r="F28" s="33"/>
      <c r="G28" s="33"/>
      <c r="H28" s="33"/>
      <c r="I28" s="34"/>
      <c r="J28" s="34"/>
    </row>
    <row r="29" spans="2:10" s="18" customFormat="1" ht="11.25" x14ac:dyDescent="0.2">
      <c r="B29" s="33"/>
      <c r="C29" s="34"/>
      <c r="D29" s="33"/>
      <c r="E29" s="33"/>
      <c r="F29" s="33"/>
      <c r="G29" s="33"/>
      <c r="H29" s="33"/>
      <c r="I29" s="34"/>
      <c r="J29" s="34"/>
    </row>
    <row r="30" spans="2:10" s="18" customFormat="1" ht="11.25" x14ac:dyDescent="0.2">
      <c r="B30" s="33"/>
      <c r="C30" s="34"/>
      <c r="D30" s="33"/>
      <c r="E30" s="33"/>
      <c r="F30" s="33"/>
      <c r="G30" s="33"/>
      <c r="H30" s="33"/>
      <c r="I30" s="34"/>
      <c r="J30" s="34"/>
    </row>
    <row r="31" spans="2:10" s="18" customFormat="1" ht="11.25" x14ac:dyDescent="0.2">
      <c r="B31" s="33"/>
      <c r="C31" s="34"/>
      <c r="D31" s="33"/>
      <c r="E31" s="33"/>
      <c r="F31" s="33"/>
      <c r="G31" s="33"/>
      <c r="H31" s="33"/>
      <c r="I31" s="34"/>
      <c r="J31" s="34"/>
    </row>
    <row r="32" spans="2:10" s="18" customFormat="1" ht="11.25" x14ac:dyDescent="0.2">
      <c r="B32" s="33"/>
      <c r="C32" s="34"/>
      <c r="D32" s="33"/>
      <c r="E32" s="33"/>
      <c r="F32" s="33"/>
      <c r="G32" s="33"/>
      <c r="H32" s="33"/>
      <c r="I32" s="34"/>
      <c r="J32" s="34"/>
    </row>
    <row r="33" spans="2:10" x14ac:dyDescent="0.2">
      <c r="B33" s="30"/>
      <c r="C33" s="20"/>
      <c r="D33" s="30"/>
      <c r="E33" s="30"/>
      <c r="F33" s="30"/>
      <c r="G33" s="30"/>
      <c r="H33" s="30"/>
      <c r="I33" s="20"/>
      <c r="J33" s="20"/>
    </row>
  </sheetData>
  <mergeCells count="2">
    <mergeCell ref="B2:J2"/>
    <mergeCell ref="B1:J1"/>
  </mergeCells>
  <phoneticPr fontId="0" type="noConversion"/>
  <printOptions gridLines="1"/>
  <pageMargins left="0.28999999999999998" right="0.27" top="0.48" bottom="0.38" header="0.18" footer="0.17"/>
  <pageSetup scale="90" fitToHeight="3" orientation="landscape" r:id="rId1"/>
  <headerFooter alignWithMargins="0">
    <oddHeader>&amp;A</oddHeader>
    <oddFooter>&amp;L&amp;BAcxiom Corporation Confidential&amp;B&amp;C&amp;D&amp;RPage &amp;P</odd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71B6-92FB-4943-BA0F-5A389CF08052}">
  <sheetPr>
    <tabColor theme="1"/>
    <pageSetUpPr fitToPage="1"/>
  </sheetPr>
  <dimension ref="B1:L32"/>
  <sheetViews>
    <sheetView tabSelected="1" workbookViewId="0">
      <selection activeCell="G29" sqref="G29"/>
    </sheetView>
  </sheetViews>
  <sheetFormatPr defaultRowHeight="12.75" x14ac:dyDescent="0.2"/>
  <cols>
    <col min="1" max="1" width="9.140625" style="53"/>
    <col min="2" max="2" width="10.5703125" style="58" customWidth="1"/>
    <col min="3" max="3" width="27" style="58" customWidth="1"/>
    <col min="4" max="4" width="42.42578125" style="59" bestFit="1" customWidth="1"/>
    <col min="5" max="5" width="19.85546875" style="59" customWidth="1"/>
    <col min="6" max="6" width="14.28515625" style="58" customWidth="1"/>
    <col min="7" max="7" width="13.42578125" style="58" customWidth="1"/>
    <col min="8" max="8" width="10.140625" style="58" customWidth="1"/>
    <col min="9" max="10" width="13.5703125" style="58" customWidth="1"/>
    <col min="11" max="11" width="53.5703125" style="58" customWidth="1"/>
    <col min="12" max="12" width="34.42578125" style="59" customWidth="1"/>
    <col min="13" max="16384" width="9.140625" style="53"/>
  </cols>
  <sheetData>
    <row r="1" spans="2:12" s="45" customFormat="1" ht="16.5" customHeight="1" x14ac:dyDescent="0.25">
      <c r="B1" s="44" t="s">
        <v>162</v>
      </c>
      <c r="C1" s="44"/>
      <c r="D1" s="44"/>
      <c r="E1" s="44"/>
      <c r="F1" s="44"/>
      <c r="G1" s="44"/>
      <c r="H1" s="44"/>
      <c r="I1" s="44"/>
      <c r="J1" s="44"/>
      <c r="K1" s="44"/>
      <c r="L1" s="44"/>
    </row>
    <row r="2" spans="2:12" s="47" customFormat="1" ht="24" customHeight="1" x14ac:dyDescent="0.2">
      <c r="B2" s="46" t="s">
        <v>163</v>
      </c>
      <c r="C2" s="46"/>
      <c r="D2" s="46"/>
      <c r="E2" s="46"/>
      <c r="F2" s="46"/>
      <c r="G2" s="46"/>
      <c r="H2" s="46"/>
      <c r="I2" s="46"/>
      <c r="J2" s="46"/>
      <c r="K2" s="46"/>
      <c r="L2" s="46"/>
    </row>
    <row r="3" spans="2:12" s="49" customFormat="1" ht="25.5" x14ac:dyDescent="0.2">
      <c r="B3" s="48" t="s">
        <v>1</v>
      </c>
      <c r="C3" s="48" t="s">
        <v>164</v>
      </c>
      <c r="D3" s="48" t="s">
        <v>165</v>
      </c>
      <c r="E3" s="48" t="s">
        <v>166</v>
      </c>
      <c r="F3" s="48" t="s">
        <v>167</v>
      </c>
      <c r="G3" s="48" t="s">
        <v>4</v>
      </c>
      <c r="H3" s="48" t="s">
        <v>168</v>
      </c>
      <c r="I3" s="48" t="s">
        <v>169</v>
      </c>
      <c r="J3" s="48" t="s">
        <v>6</v>
      </c>
      <c r="K3" s="48" t="s">
        <v>170</v>
      </c>
      <c r="L3" s="48" t="s">
        <v>8</v>
      </c>
    </row>
    <row r="4" spans="2:12" s="53" customFormat="1" ht="25.5" x14ac:dyDescent="0.2">
      <c r="B4" s="50" t="s">
        <v>171</v>
      </c>
      <c r="C4" s="50" t="s">
        <v>172</v>
      </c>
      <c r="D4" s="51" t="s">
        <v>173</v>
      </c>
      <c r="E4" s="48" t="s">
        <v>174</v>
      </c>
      <c r="F4" s="48" t="s">
        <v>175</v>
      </c>
      <c r="G4" s="52">
        <v>46128</v>
      </c>
      <c r="H4" s="52" t="s">
        <v>176</v>
      </c>
      <c r="I4" s="52"/>
      <c r="J4" s="52"/>
      <c r="K4" s="50" t="s">
        <v>177</v>
      </c>
      <c r="L4" s="51"/>
    </row>
    <row r="5" spans="2:12" s="53" customFormat="1" ht="25.5" x14ac:dyDescent="0.2">
      <c r="B5" s="50" t="s">
        <v>178</v>
      </c>
      <c r="C5" s="50" t="s">
        <v>179</v>
      </c>
      <c r="D5" s="51" t="s">
        <v>180</v>
      </c>
      <c r="E5" s="48" t="s">
        <v>174</v>
      </c>
      <c r="F5" s="50" t="s">
        <v>175</v>
      </c>
      <c r="G5" s="52">
        <v>46128</v>
      </c>
      <c r="H5" s="52" t="s">
        <v>181</v>
      </c>
      <c r="I5" s="52"/>
      <c r="J5" s="50"/>
      <c r="K5" s="50" t="s">
        <v>177</v>
      </c>
      <c r="L5" s="51"/>
    </row>
    <row r="6" spans="2:12" s="53" customFormat="1" x14ac:dyDescent="0.2">
      <c r="B6" s="50"/>
      <c r="C6" s="50"/>
      <c r="D6" s="51"/>
      <c r="E6" s="48"/>
      <c r="F6" s="48"/>
      <c r="G6" s="50"/>
      <c r="H6" s="50"/>
      <c r="I6" s="50"/>
      <c r="J6" s="50"/>
      <c r="K6" s="50"/>
      <c r="L6" s="51"/>
    </row>
    <row r="7" spans="2:12" s="53" customFormat="1" x14ac:dyDescent="0.2">
      <c r="B7" s="50"/>
      <c r="C7" s="50"/>
      <c r="D7" s="51"/>
      <c r="E7" s="48"/>
      <c r="F7" s="48"/>
      <c r="G7" s="50"/>
      <c r="H7" s="50"/>
      <c r="I7" s="50"/>
      <c r="J7" s="50"/>
      <c r="K7" s="50"/>
      <c r="L7" s="51"/>
    </row>
    <row r="8" spans="2:12" s="53" customFormat="1" x14ac:dyDescent="0.2">
      <c r="B8" s="50"/>
      <c r="C8" s="50"/>
      <c r="D8" s="51"/>
      <c r="E8" s="48"/>
      <c r="F8" s="48"/>
      <c r="G8" s="50"/>
      <c r="H8" s="50"/>
      <c r="I8" s="50"/>
      <c r="J8" s="50"/>
      <c r="K8" s="50"/>
      <c r="L8" s="51"/>
    </row>
    <row r="9" spans="2:12" s="53" customFormat="1" x14ac:dyDescent="0.2">
      <c r="B9" s="50"/>
      <c r="C9" s="50"/>
      <c r="D9" s="51"/>
      <c r="E9" s="48"/>
      <c r="F9" s="48"/>
      <c r="G9" s="50"/>
      <c r="H9" s="50"/>
      <c r="I9" s="50"/>
      <c r="J9" s="50"/>
      <c r="K9" s="50"/>
      <c r="L9" s="51"/>
    </row>
    <row r="10" spans="2:12" s="53" customFormat="1" x14ac:dyDescent="0.2">
      <c r="B10" s="50"/>
      <c r="C10" s="50"/>
      <c r="D10" s="51"/>
      <c r="E10" s="48"/>
      <c r="F10" s="48"/>
      <c r="G10" s="50"/>
      <c r="H10" s="50"/>
      <c r="I10" s="50"/>
      <c r="J10" s="50"/>
      <c r="K10" s="50"/>
      <c r="L10" s="51"/>
    </row>
    <row r="11" spans="2:12" s="53" customFormat="1" x14ac:dyDescent="0.2">
      <c r="B11" s="50"/>
      <c r="C11" s="50"/>
      <c r="D11" s="51"/>
      <c r="E11" s="48"/>
      <c r="F11" s="48"/>
      <c r="G11" s="50"/>
      <c r="H11" s="50"/>
      <c r="I11" s="50"/>
      <c r="J11" s="50"/>
      <c r="K11" s="50"/>
      <c r="L11" s="51"/>
    </row>
    <row r="12" spans="2:12" s="53" customFormat="1" x14ac:dyDescent="0.2">
      <c r="B12" s="50"/>
      <c r="C12" s="50"/>
      <c r="D12" s="51"/>
      <c r="E12" s="48"/>
      <c r="F12" s="48"/>
      <c r="G12" s="50"/>
      <c r="H12" s="50"/>
      <c r="I12" s="50"/>
      <c r="J12" s="50"/>
      <c r="K12" s="50"/>
      <c r="L12" s="51"/>
    </row>
    <row r="13" spans="2:12" s="53" customFormat="1" x14ac:dyDescent="0.2">
      <c r="B13" s="50"/>
      <c r="C13" s="50"/>
      <c r="D13" s="51"/>
      <c r="E13" s="48"/>
      <c r="F13" s="48"/>
      <c r="G13" s="50"/>
      <c r="H13" s="50"/>
      <c r="I13" s="50"/>
      <c r="J13" s="50"/>
      <c r="K13" s="50"/>
      <c r="L13" s="51"/>
    </row>
    <row r="14" spans="2:12" s="53" customFormat="1" x14ac:dyDescent="0.2">
      <c r="B14" s="50"/>
      <c r="C14" s="50"/>
      <c r="D14" s="51"/>
      <c r="E14" s="48"/>
      <c r="F14" s="48"/>
      <c r="G14" s="50"/>
      <c r="H14" s="50"/>
      <c r="I14" s="50"/>
      <c r="J14" s="50"/>
      <c r="K14" s="50"/>
      <c r="L14" s="51"/>
    </row>
    <row r="15" spans="2:12" s="53" customFormat="1" x14ac:dyDescent="0.2">
      <c r="B15" s="50"/>
      <c r="C15" s="50"/>
      <c r="D15" s="51"/>
      <c r="E15" s="48"/>
      <c r="F15" s="48"/>
      <c r="G15" s="50"/>
      <c r="H15" s="50"/>
      <c r="I15" s="50"/>
      <c r="J15" s="50"/>
      <c r="K15" s="50"/>
      <c r="L15" s="51"/>
    </row>
    <row r="16" spans="2:12" s="53" customFormat="1" x14ac:dyDescent="0.2">
      <c r="B16" s="50"/>
      <c r="C16" s="50"/>
      <c r="D16" s="51"/>
      <c r="E16" s="48"/>
      <c r="F16" s="48"/>
      <c r="G16" s="50"/>
      <c r="H16" s="50"/>
      <c r="I16" s="50"/>
      <c r="J16" s="50"/>
      <c r="K16" s="50"/>
      <c r="L16" s="51"/>
    </row>
    <row r="17" spans="2:12" s="57" customFormat="1" ht="11.25" x14ac:dyDescent="0.2">
      <c r="B17" s="54"/>
      <c r="C17" s="54"/>
      <c r="D17" s="55"/>
      <c r="E17" s="56"/>
      <c r="F17" s="54"/>
      <c r="G17" s="54"/>
      <c r="H17" s="54"/>
      <c r="I17" s="54"/>
      <c r="J17" s="54"/>
      <c r="K17" s="54"/>
      <c r="L17" s="55"/>
    </row>
    <row r="18" spans="2:12" s="57" customFormat="1" ht="11.25" x14ac:dyDescent="0.2">
      <c r="B18" s="54"/>
      <c r="C18" s="54"/>
      <c r="D18" s="55"/>
      <c r="E18" s="56"/>
      <c r="F18" s="54"/>
      <c r="G18" s="54"/>
      <c r="H18" s="54"/>
      <c r="I18" s="54"/>
      <c r="J18" s="54"/>
      <c r="K18" s="54"/>
      <c r="L18" s="55"/>
    </row>
    <row r="19" spans="2:12" s="57" customFormat="1" ht="11.25" x14ac:dyDescent="0.2">
      <c r="B19" s="54"/>
      <c r="C19" s="54"/>
      <c r="D19" s="55"/>
      <c r="E19" s="56"/>
      <c r="F19" s="54"/>
      <c r="G19" s="54"/>
      <c r="H19" s="54"/>
      <c r="I19" s="54"/>
      <c r="J19" s="54"/>
      <c r="K19" s="54"/>
      <c r="L19" s="55"/>
    </row>
    <row r="20" spans="2:12" s="57" customFormat="1" ht="11.25" x14ac:dyDescent="0.2">
      <c r="B20" s="54"/>
      <c r="C20" s="54"/>
      <c r="D20" s="55"/>
      <c r="E20" s="56"/>
      <c r="F20" s="54"/>
      <c r="G20" s="54"/>
      <c r="H20" s="54"/>
      <c r="I20" s="54"/>
      <c r="J20" s="54"/>
      <c r="K20" s="54"/>
      <c r="L20" s="55"/>
    </row>
    <row r="21" spans="2:12" s="57" customFormat="1" ht="11.25" x14ac:dyDescent="0.2">
      <c r="B21" s="54"/>
      <c r="C21" s="54"/>
      <c r="D21" s="55"/>
      <c r="E21" s="56"/>
      <c r="F21" s="54"/>
      <c r="G21" s="54"/>
      <c r="H21" s="54"/>
      <c r="I21" s="54"/>
      <c r="J21" s="54"/>
      <c r="K21" s="54"/>
      <c r="L21" s="55"/>
    </row>
    <row r="22" spans="2:12" s="57" customFormat="1" ht="11.25" x14ac:dyDescent="0.2">
      <c r="B22" s="54"/>
      <c r="C22" s="54"/>
      <c r="D22" s="55"/>
      <c r="E22" s="56"/>
      <c r="F22" s="54"/>
      <c r="G22" s="54"/>
      <c r="H22" s="54"/>
      <c r="I22" s="54"/>
      <c r="J22" s="54"/>
      <c r="K22" s="54"/>
      <c r="L22" s="55"/>
    </row>
    <row r="23" spans="2:12" s="57" customFormat="1" ht="11.25" x14ac:dyDescent="0.2">
      <c r="B23" s="54"/>
      <c r="C23" s="54"/>
      <c r="D23" s="55"/>
      <c r="E23" s="56"/>
      <c r="F23" s="54"/>
      <c r="G23" s="54"/>
      <c r="H23" s="54"/>
      <c r="I23" s="54"/>
      <c r="J23" s="54"/>
      <c r="K23" s="54"/>
      <c r="L23" s="55"/>
    </row>
    <row r="24" spans="2:12" s="57" customFormat="1" ht="11.25" x14ac:dyDescent="0.2">
      <c r="B24" s="54"/>
      <c r="C24" s="54"/>
      <c r="D24" s="55"/>
      <c r="E24" s="56"/>
      <c r="F24" s="54"/>
      <c r="G24" s="54"/>
      <c r="H24" s="54"/>
      <c r="I24" s="54"/>
      <c r="J24" s="54"/>
      <c r="K24" s="54"/>
      <c r="L24" s="55"/>
    </row>
    <row r="25" spans="2:12" s="57" customFormat="1" ht="11.25" x14ac:dyDescent="0.2">
      <c r="B25" s="54"/>
      <c r="C25" s="54"/>
      <c r="D25" s="55"/>
      <c r="E25" s="56"/>
      <c r="F25" s="54"/>
      <c r="G25" s="54"/>
      <c r="H25" s="54"/>
      <c r="I25" s="54"/>
      <c r="J25" s="54"/>
      <c r="K25" s="54"/>
      <c r="L25" s="55"/>
    </row>
    <row r="26" spans="2:12" s="57" customFormat="1" ht="11.25" x14ac:dyDescent="0.2">
      <c r="B26" s="54"/>
      <c r="C26" s="54"/>
      <c r="D26" s="55"/>
      <c r="E26" s="56"/>
      <c r="F26" s="54"/>
      <c r="G26" s="54"/>
      <c r="H26" s="54"/>
      <c r="I26" s="54"/>
      <c r="J26" s="54"/>
      <c r="K26" s="54"/>
      <c r="L26" s="55"/>
    </row>
    <row r="27" spans="2:12" s="57" customFormat="1" ht="11.25" x14ac:dyDescent="0.2">
      <c r="B27" s="54"/>
      <c r="C27" s="54"/>
      <c r="D27" s="55"/>
      <c r="E27" s="56"/>
      <c r="F27" s="54"/>
      <c r="G27" s="54"/>
      <c r="H27" s="54"/>
      <c r="I27" s="54"/>
      <c r="J27" s="54"/>
      <c r="K27" s="54"/>
      <c r="L27" s="55"/>
    </row>
    <row r="28" spans="2:12" s="57" customFormat="1" ht="11.25" x14ac:dyDescent="0.2">
      <c r="B28" s="54"/>
      <c r="C28" s="54"/>
      <c r="D28" s="55"/>
      <c r="E28" s="56"/>
      <c r="F28" s="54"/>
      <c r="G28" s="54"/>
      <c r="H28" s="54"/>
      <c r="I28" s="54"/>
      <c r="J28" s="54"/>
      <c r="K28" s="54"/>
      <c r="L28" s="55"/>
    </row>
    <row r="29" spans="2:12" s="57" customFormat="1" ht="11.25" x14ac:dyDescent="0.2">
      <c r="B29" s="54"/>
      <c r="C29" s="54"/>
      <c r="D29" s="55"/>
      <c r="E29" s="56"/>
      <c r="F29" s="54"/>
      <c r="G29" s="54"/>
      <c r="H29" s="54"/>
      <c r="I29" s="54"/>
      <c r="J29" s="54"/>
      <c r="K29" s="54"/>
      <c r="L29" s="55"/>
    </row>
    <row r="30" spans="2:12" s="57" customFormat="1" ht="11.25" x14ac:dyDescent="0.2">
      <c r="B30" s="54"/>
      <c r="C30" s="54"/>
      <c r="D30" s="55"/>
      <c r="E30" s="56"/>
      <c r="F30" s="54"/>
      <c r="G30" s="54"/>
      <c r="H30" s="54"/>
      <c r="I30" s="54"/>
      <c r="J30" s="54"/>
      <c r="K30" s="54"/>
      <c r="L30" s="55"/>
    </row>
    <row r="31" spans="2:12" s="57" customFormat="1" ht="11.25" x14ac:dyDescent="0.2">
      <c r="B31" s="54"/>
      <c r="C31" s="54"/>
      <c r="D31" s="55"/>
      <c r="E31" s="56"/>
      <c r="F31" s="54"/>
      <c r="G31" s="54"/>
      <c r="H31" s="54"/>
      <c r="I31" s="54"/>
      <c r="J31" s="54"/>
      <c r="K31" s="54"/>
      <c r="L31" s="55"/>
    </row>
    <row r="32" spans="2:12" s="57" customFormat="1" ht="11.25" x14ac:dyDescent="0.2">
      <c r="B32" s="54"/>
      <c r="C32" s="54"/>
      <c r="D32" s="55"/>
      <c r="E32" s="56"/>
      <c r="F32" s="54"/>
      <c r="G32" s="54"/>
      <c r="H32" s="54"/>
      <c r="I32" s="54"/>
      <c r="J32" s="54"/>
      <c r="K32" s="54"/>
      <c r="L32" s="55"/>
    </row>
  </sheetData>
  <mergeCells count="2">
    <mergeCell ref="B1:L1"/>
    <mergeCell ref="B2:L2"/>
  </mergeCells>
  <printOptions gridLines="1"/>
  <pageMargins left="0.28999999999999998" right="0.27" top="0.48" bottom="0.38" header="0.18" footer="0.17"/>
  <pageSetup scale="90" fitToHeight="3" orientation="landscape" r:id="rId1"/>
  <headerFooter alignWithMargins="0">
    <oddHeader>&amp;A</oddHeader>
    <oddFooter>&amp;L&amp;BAcxiom Corporation Confidential&amp;B&amp;C&amp;D&amp;RPage &amp;P</oddFooter>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Risks</vt:lpstr>
      <vt:lpstr>Risk Quantification Instruction</vt:lpstr>
      <vt:lpstr>Issues Log-Required</vt:lpstr>
      <vt:lpstr>Bug Tracker</vt:lpstr>
      <vt:lpstr>'Bug Tracker'!Print_Titles</vt:lpstr>
      <vt:lpstr>'Issues Log-Required'!Print_Titles</vt:lpstr>
    </vt:vector>
  </TitlesOfParts>
  <Manager/>
  <Company>Acxiom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Acxiom Corporation</dc:creator>
  <cp:keywords/>
  <dc:description/>
  <cp:lastModifiedBy>Thomas DiGuido</cp:lastModifiedBy>
  <cp:revision/>
  <dcterms:created xsi:type="dcterms:W3CDTF">2007-01-18T19:20:46Z</dcterms:created>
  <dcterms:modified xsi:type="dcterms:W3CDTF">2026-04-16T19:32:57Z</dcterms:modified>
  <cp:category/>
  <cp:contentStatus/>
</cp:coreProperties>
</file>